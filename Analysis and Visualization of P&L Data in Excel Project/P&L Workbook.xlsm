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filterPrivacy="1" codeName="ThisWorkbook" defaultThemeVersion="124226"/>
  <xr:revisionPtr revIDLastSave="0" documentId="13_ncr:1_{D51BAC41-00F7-40EC-BBFE-671264543180}" xr6:coauthVersionLast="47" xr6:coauthVersionMax="47" xr10:uidLastSave="{00000000-0000-0000-0000-000000000000}"/>
  <bookViews>
    <workbookView xWindow="-110" yWindow="-110" windowWidth="19420" windowHeight="10300" tabRatio="785" firstSheet="9" activeTab="14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Functions --&gt;" sheetId="8" r:id="rId7"/>
    <sheet name="2.1 Database" sheetId="10" r:id="rId8"/>
    <sheet name="2.2 P&amp;L statement" sheetId="31" r:id="rId9"/>
    <sheet name="2.3 Mapping" sheetId="21" r:id="rId10"/>
    <sheet name="3. Charts" sheetId="24" r:id="rId11"/>
    <sheet name=".1 Column Stacked Chart" sheetId="29" r:id="rId12"/>
    <sheet name="3.2 Dougnut chart" sheetId="28" r:id="rId13"/>
    <sheet name="3.3 Area chart" sheetId="26" r:id="rId14"/>
    <sheet name="3.4 Bridge Chart" sheetId="27" r:id="rId15"/>
  </sheets>
  <definedNames>
    <definedName name="_xlnm._FilterDatabase" localSheetId="3" hidden="1">'1.1 FY2016'!$C$3:$G$92</definedName>
    <definedName name="_xlnm._FilterDatabase" localSheetId="4" hidden="1">'1.2 FY2017'!$B$3:$G$126</definedName>
    <definedName name="_xlnm._FilterDatabase" localSheetId="5" hidden="1">'1.3 FY2018'!$B$3:$G$114</definedName>
    <definedName name="_xlnm._FilterDatabase" localSheetId="7" hidden="1">'2.1 Database'!$B$3:$J$108</definedName>
    <definedName name="_xlchart.v1.0" hidden="1">'3.4 Bridge Chart'!$B$3:$B$7</definedName>
    <definedName name="_xlchart.v1.1" hidden="1">'3.4 Bridge Chart'!$C$3:$C$7</definedName>
    <definedName name="_xlchart.v1.2" hidden="1">'3.4 Bridge Chart'!$B$3:$B$7</definedName>
    <definedName name="_xlchart.v1.3" hidden="1">'3.4 Bridge Chart'!$C$3:$C$7</definedName>
    <definedName name="_xlchart.v1.4" hidden="1">'3.4 Bridge Chart'!$B$3:$B$7</definedName>
    <definedName name="_xlchart.v1.5" hidden="1">'3.4 Bridge Chart'!$C$3:$C$7</definedName>
    <definedName name="_xlchart.v1.6" hidden="1">'3.4 Bridge Chart'!$B$3:$B$7</definedName>
    <definedName name="_xlchart.v1.7" hidden="1">'3.4 Bridge Chart'!$C$3:$C$7</definedName>
    <definedName name="_xlchart.v1.8" hidden="1">'3.4 Bridge Chart'!$B$3:$B$7</definedName>
    <definedName name="_xlchart.v1.9" hidden="1">'3.4 Bridge Chart'!$C$3:$C$7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27" l="1"/>
  <c r="C5" i="27"/>
  <c r="C4" i="27"/>
  <c r="J18" i="10" l="1"/>
  <c r="B126" i="2"/>
  <c r="G108" i="10" l="1"/>
  <c r="G100" i="10"/>
  <c r="G91" i="10"/>
  <c r="G50" i="10"/>
  <c r="G42" i="10"/>
  <c r="G35" i="10"/>
  <c r="G34" i="10"/>
  <c r="G11" i="10"/>
  <c r="G10" i="10"/>
  <c r="D94" i="10"/>
  <c r="E93" i="10"/>
  <c r="D90" i="10"/>
  <c r="E81" i="10"/>
  <c r="D78" i="10"/>
  <c r="E77" i="10"/>
  <c r="D74" i="10"/>
  <c r="E65" i="10"/>
  <c r="D62" i="10"/>
  <c r="E61" i="10"/>
  <c r="C90" i="10"/>
  <c r="I90" i="10" s="1"/>
  <c r="J90" i="10" s="1"/>
  <c r="C73" i="10"/>
  <c r="I73" i="10" s="1"/>
  <c r="J73" i="10" s="1"/>
  <c r="C66" i="10"/>
  <c r="I66" i="10" s="1"/>
  <c r="J66" i="10" s="1"/>
  <c r="C65" i="10"/>
  <c r="I65" i="10" s="1"/>
  <c r="J65" i="10" s="1"/>
  <c r="B114" i="3"/>
  <c r="B113" i="3"/>
  <c r="B111" i="3"/>
  <c r="B109" i="3"/>
  <c r="B107" i="3"/>
  <c r="B105" i="3"/>
  <c r="B103" i="3"/>
  <c r="B102" i="3"/>
  <c r="B101" i="3"/>
  <c r="B99" i="3"/>
  <c r="B97" i="3"/>
  <c r="B96" i="3"/>
  <c r="B95" i="3"/>
  <c r="B94" i="3"/>
  <c r="B93" i="3"/>
  <c r="B92" i="3"/>
  <c r="B91" i="3"/>
  <c r="B89" i="3"/>
  <c r="B88" i="3"/>
  <c r="B86" i="3"/>
  <c r="B85" i="3"/>
  <c r="B84" i="3"/>
  <c r="B82" i="3"/>
  <c r="B80" i="3"/>
  <c r="B78" i="3"/>
  <c r="B76" i="3"/>
  <c r="B74" i="3"/>
  <c r="B72" i="3"/>
  <c r="B70" i="3"/>
  <c r="B69" i="3"/>
  <c r="B67" i="3"/>
  <c r="B65" i="3"/>
  <c r="B64" i="3"/>
  <c r="B62" i="3"/>
  <c r="B61" i="3"/>
  <c r="B59" i="3"/>
  <c r="B57" i="3"/>
  <c r="B55" i="3"/>
  <c r="B54" i="3"/>
  <c r="B52" i="3"/>
  <c r="B50" i="3"/>
  <c r="B49" i="3"/>
  <c r="B48" i="3"/>
  <c r="B47" i="3"/>
  <c r="B46" i="3"/>
  <c r="B45" i="3"/>
  <c r="B44" i="3"/>
  <c r="B43" i="3"/>
  <c r="B42" i="3"/>
  <c r="B41" i="3"/>
  <c r="B40" i="3"/>
  <c r="B39" i="3"/>
  <c r="B37" i="3"/>
  <c r="B36" i="3"/>
  <c r="B34" i="3"/>
  <c r="B32" i="3"/>
  <c r="B30" i="3"/>
  <c r="B28" i="3"/>
  <c r="B27" i="3"/>
  <c r="B25" i="3"/>
  <c r="B23" i="3"/>
  <c r="B22" i="3"/>
  <c r="B21" i="3"/>
  <c r="B20" i="3"/>
  <c r="B19" i="3"/>
  <c r="B18" i="3"/>
  <c r="B17" i="3"/>
  <c r="B15" i="3"/>
  <c r="B13" i="3"/>
  <c r="B11" i="3"/>
  <c r="B9" i="3"/>
  <c r="H106" i="10" s="1"/>
  <c r="B7" i="3"/>
  <c r="B5" i="3"/>
  <c r="B4" i="3"/>
  <c r="H101" i="10" s="1"/>
  <c r="B124" i="2"/>
  <c r="B122" i="2"/>
  <c r="B120" i="2"/>
  <c r="B118" i="2"/>
  <c r="B116" i="2"/>
  <c r="B114" i="2"/>
  <c r="B113" i="2"/>
  <c r="B112" i="2"/>
  <c r="B110" i="2"/>
  <c r="B108" i="2"/>
  <c r="B107" i="2"/>
  <c r="B106" i="2"/>
  <c r="B105" i="2"/>
  <c r="B104" i="2"/>
  <c r="B103" i="2"/>
  <c r="B102" i="2"/>
  <c r="B101" i="2"/>
  <c r="B99" i="2"/>
  <c r="B98" i="2"/>
  <c r="B97" i="2"/>
  <c r="B95" i="2"/>
  <c r="B94" i="2"/>
  <c r="B93" i="2"/>
  <c r="B92" i="2"/>
  <c r="B90" i="2"/>
  <c r="B88" i="2"/>
  <c r="B86" i="2"/>
  <c r="B84" i="2"/>
  <c r="B83" i="2"/>
  <c r="B81" i="2"/>
  <c r="B79" i="2"/>
  <c r="B77" i="2"/>
  <c r="B75" i="2"/>
  <c r="B74" i="2"/>
  <c r="B72" i="2"/>
  <c r="B71" i="2"/>
  <c r="B69" i="2"/>
  <c r="B67" i="2"/>
  <c r="B66" i="2"/>
  <c r="B65" i="2"/>
  <c r="B63" i="2"/>
  <c r="B61" i="2"/>
  <c r="B59" i="2"/>
  <c r="B57" i="2"/>
  <c r="B55" i="2"/>
  <c r="B54" i="2"/>
  <c r="B52" i="2"/>
  <c r="B51" i="2"/>
  <c r="B50" i="2"/>
  <c r="B49" i="2"/>
  <c r="B48" i="2"/>
  <c r="B47" i="2"/>
  <c r="B46" i="2"/>
  <c r="B45" i="2"/>
  <c r="B44" i="2"/>
  <c r="B43" i="2"/>
  <c r="B42" i="2"/>
  <c r="B40" i="2"/>
  <c r="B38" i="2"/>
  <c r="C94" i="10" s="1"/>
  <c r="I94" i="10" s="1"/>
  <c r="J94" i="10" s="1"/>
  <c r="B36" i="2"/>
  <c r="B34" i="2"/>
  <c r="B32" i="2"/>
  <c r="B30" i="2"/>
  <c r="C82" i="10" s="1"/>
  <c r="I82" i="10" s="1"/>
  <c r="J82" i="10" s="1"/>
  <c r="B29" i="2"/>
  <c r="B27" i="2"/>
  <c r="B25" i="2"/>
  <c r="B24" i="2"/>
  <c r="B23" i="2"/>
  <c r="B22" i="2"/>
  <c r="B21" i="2"/>
  <c r="B20" i="2"/>
  <c r="B18" i="2"/>
  <c r="B16" i="2"/>
  <c r="C72" i="10" s="1"/>
  <c r="I72" i="10" s="1"/>
  <c r="J72" i="10" s="1"/>
  <c r="B14" i="2"/>
  <c r="C70" i="10" s="1"/>
  <c r="I70" i="10" s="1"/>
  <c r="J70" i="10" s="1"/>
  <c r="B12" i="2"/>
  <c r="C69" i="10" s="1"/>
  <c r="I69" i="10" s="1"/>
  <c r="J69" i="10" s="1"/>
  <c r="B11" i="2"/>
  <c r="B10" i="2"/>
  <c r="B9" i="2"/>
  <c r="B7" i="2"/>
  <c r="B5" i="2"/>
  <c r="B4" i="2"/>
  <c r="G107" i="10" s="1"/>
  <c r="B92" i="1"/>
  <c r="B90" i="1"/>
  <c r="B88" i="1"/>
  <c r="B86" i="1"/>
  <c r="B84" i="1"/>
  <c r="B82" i="1"/>
  <c r="B80" i="1"/>
  <c r="B78" i="1"/>
  <c r="B77" i="1"/>
  <c r="B76" i="1"/>
  <c r="B75" i="1"/>
  <c r="B74" i="1"/>
  <c r="B72" i="1"/>
  <c r="B71" i="1"/>
  <c r="B70" i="1"/>
  <c r="B68" i="1"/>
  <c r="B67" i="1"/>
  <c r="B65" i="1"/>
  <c r="B63" i="1"/>
  <c r="B61" i="1"/>
  <c r="B59" i="1"/>
  <c r="B57" i="1"/>
  <c r="B55" i="1"/>
  <c r="B53" i="1"/>
  <c r="B51" i="1"/>
  <c r="B50" i="1"/>
  <c r="B49" i="1"/>
  <c r="B47" i="1"/>
  <c r="B45" i="1"/>
  <c r="B44" i="1"/>
  <c r="B42" i="1"/>
  <c r="B40" i="1"/>
  <c r="B38" i="1"/>
  <c r="B37" i="1"/>
  <c r="B36" i="1"/>
  <c r="B35" i="1"/>
  <c r="B34" i="1"/>
  <c r="B33" i="1"/>
  <c r="B32" i="1"/>
  <c r="B31" i="1"/>
  <c r="B30" i="1"/>
  <c r="B28" i="1"/>
  <c r="B27" i="1"/>
  <c r="B25" i="1"/>
  <c r="B23" i="1"/>
  <c r="B22" i="1"/>
  <c r="B20" i="1"/>
  <c r="B18" i="1"/>
  <c r="B17" i="1"/>
  <c r="B15" i="1"/>
  <c r="B13" i="1"/>
  <c r="B11" i="1"/>
  <c r="B10" i="1"/>
  <c r="B9" i="1"/>
  <c r="B8" i="1"/>
  <c r="B6" i="1"/>
  <c r="B4" i="1"/>
  <c r="F106" i="10" l="1"/>
  <c r="F85" i="10"/>
  <c r="C4" i="10"/>
  <c r="I4" i="10" s="1"/>
  <c r="D4" i="10"/>
  <c r="F25" i="10"/>
  <c r="F57" i="10"/>
  <c r="F90" i="10"/>
  <c r="F10" i="10"/>
  <c r="F42" i="10"/>
  <c r="F75" i="10"/>
  <c r="F108" i="10"/>
  <c r="F19" i="10"/>
  <c r="F59" i="10"/>
  <c r="F92" i="10"/>
  <c r="F20" i="10"/>
  <c r="F44" i="10"/>
  <c r="F77" i="10"/>
  <c r="F60" i="10"/>
  <c r="E4" i="10"/>
  <c r="F5" i="10"/>
  <c r="F13" i="10"/>
  <c r="F21" i="10"/>
  <c r="F29" i="10"/>
  <c r="F37" i="10"/>
  <c r="F45" i="10"/>
  <c r="F53" i="10"/>
  <c r="F62" i="10"/>
  <c r="F70" i="10"/>
  <c r="F78" i="10"/>
  <c r="F86" i="10"/>
  <c r="F95" i="10"/>
  <c r="F103" i="10"/>
  <c r="F94" i="10"/>
  <c r="F33" i="10"/>
  <c r="F66" i="10"/>
  <c r="F107" i="10"/>
  <c r="F34" i="10"/>
  <c r="F67" i="10"/>
  <c r="F100" i="10"/>
  <c r="F11" i="10"/>
  <c r="F43" i="10"/>
  <c r="F101" i="10"/>
  <c r="F12" i="10"/>
  <c r="F52" i="10"/>
  <c r="F93" i="10"/>
  <c r="F6" i="10"/>
  <c r="F14" i="10"/>
  <c r="F22" i="10"/>
  <c r="F30" i="10"/>
  <c r="F38" i="10"/>
  <c r="F46" i="10"/>
  <c r="F54" i="10"/>
  <c r="F63" i="10"/>
  <c r="F71" i="10"/>
  <c r="F79" i="10"/>
  <c r="F87" i="10"/>
  <c r="F96" i="10"/>
  <c r="F104" i="10"/>
  <c r="F9" i="10"/>
  <c r="F41" i="10"/>
  <c r="F74" i="10"/>
  <c r="F82" i="10"/>
  <c r="F18" i="10"/>
  <c r="F50" i="10"/>
  <c r="F91" i="10"/>
  <c r="F27" i="10"/>
  <c r="F51" i="10"/>
  <c r="F76" i="10"/>
  <c r="F28" i="10"/>
  <c r="F61" i="10"/>
  <c r="F102" i="10"/>
  <c r="F7" i="10"/>
  <c r="F15" i="10"/>
  <c r="F23" i="10"/>
  <c r="F31" i="10"/>
  <c r="F39" i="10"/>
  <c r="F47" i="10"/>
  <c r="F55" i="10"/>
  <c r="F64" i="10"/>
  <c r="F72" i="10"/>
  <c r="F80" i="10"/>
  <c r="F88" i="10"/>
  <c r="F97" i="10"/>
  <c r="F105" i="10"/>
  <c r="F17" i="10"/>
  <c r="F49" i="10"/>
  <c r="F99" i="10"/>
  <c r="F26" i="10"/>
  <c r="F58" i="10"/>
  <c r="F83" i="10"/>
  <c r="F35" i="10"/>
  <c r="F68" i="10"/>
  <c r="F84" i="10"/>
  <c r="F4" i="10"/>
  <c r="F36" i="10"/>
  <c r="F69" i="10"/>
  <c r="F8" i="10"/>
  <c r="F16" i="10"/>
  <c r="F24" i="10"/>
  <c r="F32" i="10"/>
  <c r="F40" i="10"/>
  <c r="F48" i="10"/>
  <c r="F56" i="10"/>
  <c r="F65" i="10"/>
  <c r="F73" i="10"/>
  <c r="F81" i="10"/>
  <c r="F89" i="10"/>
  <c r="F98" i="10"/>
  <c r="C64" i="10"/>
  <c r="I64" i="10" s="1"/>
  <c r="J64" i="10" s="1"/>
  <c r="G97" i="10"/>
  <c r="G88" i="10"/>
  <c r="G72" i="10"/>
  <c r="G55" i="10"/>
  <c r="G39" i="10"/>
  <c r="G23" i="10"/>
  <c r="G7" i="10"/>
  <c r="D84" i="10"/>
  <c r="D64" i="10"/>
  <c r="G94" i="10"/>
  <c r="G96" i="10"/>
  <c r="G79" i="10"/>
  <c r="G63" i="10"/>
  <c r="G46" i="10"/>
  <c r="G30" i="10"/>
  <c r="G14" i="10"/>
  <c r="E91" i="10"/>
  <c r="E83" i="10"/>
  <c r="E75" i="10"/>
  <c r="E67" i="10"/>
  <c r="G60" i="10"/>
  <c r="G95" i="10"/>
  <c r="G78" i="10"/>
  <c r="G62" i="10"/>
  <c r="G45" i="10"/>
  <c r="G29" i="10"/>
  <c r="G13" i="10"/>
  <c r="D91" i="10"/>
  <c r="D83" i="10"/>
  <c r="D75" i="10"/>
  <c r="D67" i="10"/>
  <c r="G93" i="10"/>
  <c r="G77" i="10"/>
  <c r="G61" i="10"/>
  <c r="G44" i="10"/>
  <c r="G28" i="10"/>
  <c r="G12" i="10"/>
  <c r="E94" i="10"/>
  <c r="E90" i="10"/>
  <c r="E82" i="10"/>
  <c r="E78" i="10"/>
  <c r="E74" i="10"/>
  <c r="E66" i="10"/>
  <c r="G92" i="10"/>
  <c r="G84" i="10"/>
  <c r="G68" i="10"/>
  <c r="G51" i="10"/>
  <c r="C63" i="10"/>
  <c r="I63" i="10" s="1"/>
  <c r="J63" i="10" s="1"/>
  <c r="G105" i="10"/>
  <c r="G80" i="10"/>
  <c r="G64" i="10"/>
  <c r="G47" i="10"/>
  <c r="G31" i="10"/>
  <c r="G15" i="10"/>
  <c r="D92" i="10"/>
  <c r="D88" i="10"/>
  <c r="D80" i="10"/>
  <c r="D76" i="10"/>
  <c r="D72" i="10"/>
  <c r="D68" i="10"/>
  <c r="C62" i="10"/>
  <c r="I62" i="10" s="1"/>
  <c r="J62" i="10" s="1"/>
  <c r="G104" i="10"/>
  <c r="G87" i="10"/>
  <c r="G71" i="10"/>
  <c r="G54" i="10"/>
  <c r="G38" i="10"/>
  <c r="G22" i="10"/>
  <c r="G6" i="10"/>
  <c r="E87" i="10"/>
  <c r="E79" i="10"/>
  <c r="E71" i="10"/>
  <c r="E63" i="10"/>
  <c r="G103" i="10"/>
  <c r="G86" i="10"/>
  <c r="G70" i="10"/>
  <c r="G53" i="10"/>
  <c r="G37" i="10"/>
  <c r="G21" i="10"/>
  <c r="G5" i="10"/>
  <c r="D87" i="10"/>
  <c r="D79" i="10"/>
  <c r="D71" i="10"/>
  <c r="D63" i="10"/>
  <c r="G102" i="10"/>
  <c r="G85" i="10"/>
  <c r="G69" i="10"/>
  <c r="G52" i="10"/>
  <c r="G36" i="10"/>
  <c r="G20" i="10"/>
  <c r="G4" i="10"/>
  <c r="E86" i="10"/>
  <c r="E70" i="10"/>
  <c r="E62" i="10"/>
  <c r="G101" i="10"/>
  <c r="G76" i="10"/>
  <c r="G59" i="10"/>
  <c r="G43" i="10"/>
  <c r="C77" i="10"/>
  <c r="I77" i="10" s="1"/>
  <c r="J77" i="10" s="1"/>
  <c r="C76" i="10"/>
  <c r="I76" i="10" s="1"/>
  <c r="J76" i="10" s="1"/>
  <c r="C75" i="10"/>
  <c r="I75" i="10" s="1"/>
  <c r="J75" i="10" s="1"/>
  <c r="C74" i="10"/>
  <c r="I74" i="10" s="1"/>
  <c r="J74" i="10" s="1"/>
  <c r="D82" i="10"/>
  <c r="G58" i="10"/>
  <c r="C88" i="10"/>
  <c r="I88" i="10" s="1"/>
  <c r="J88" i="10" s="1"/>
  <c r="C81" i="10"/>
  <c r="I81" i="10" s="1"/>
  <c r="J81" i="10" s="1"/>
  <c r="E69" i="10"/>
  <c r="G67" i="10"/>
  <c r="C79" i="10"/>
  <c r="I79" i="10" s="1"/>
  <c r="J79" i="10" s="1"/>
  <c r="D70" i="10"/>
  <c r="D86" i="10"/>
  <c r="G26" i="10"/>
  <c r="G75" i="10"/>
  <c r="C86" i="10"/>
  <c r="I86" i="10" s="1"/>
  <c r="J86" i="10" s="1"/>
  <c r="C87" i="10"/>
  <c r="I87" i="10" s="1"/>
  <c r="J87" i="10" s="1"/>
  <c r="C85" i="10"/>
  <c r="I85" i="10" s="1"/>
  <c r="J85" i="10" s="1"/>
  <c r="C84" i="10"/>
  <c r="I84" i="10" s="1"/>
  <c r="J84" i="10" s="1"/>
  <c r="C83" i="10"/>
  <c r="I83" i="10" s="1"/>
  <c r="J83" i="10" s="1"/>
  <c r="D66" i="10"/>
  <c r="G18" i="10"/>
  <c r="C78" i="10"/>
  <c r="I78" i="10" s="1"/>
  <c r="J78" i="10" s="1"/>
  <c r="E85" i="10"/>
  <c r="G19" i="10"/>
  <c r="C67" i="10"/>
  <c r="I67" i="10" s="1"/>
  <c r="J67" i="10" s="1"/>
  <c r="C91" i="10"/>
  <c r="I91" i="10" s="1"/>
  <c r="J91" i="10" s="1"/>
  <c r="C68" i="10"/>
  <c r="I68" i="10" s="1"/>
  <c r="J68" i="10" s="1"/>
  <c r="C80" i="10"/>
  <c r="I80" i="10" s="1"/>
  <c r="J80" i="10" s="1"/>
  <c r="C93" i="10"/>
  <c r="I93" i="10" s="1"/>
  <c r="J93" i="10" s="1"/>
  <c r="C89" i="10"/>
  <c r="I89" i="10" s="1"/>
  <c r="J89" i="10" s="1"/>
  <c r="E73" i="10"/>
  <c r="E89" i="10"/>
  <c r="G27" i="10"/>
  <c r="G83" i="10"/>
  <c r="C71" i="10"/>
  <c r="I71" i="10" s="1"/>
  <c r="J71" i="10" s="1"/>
  <c r="C61" i="10"/>
  <c r="I61" i="10" s="1"/>
  <c r="J61" i="10" s="1"/>
  <c r="E64" i="10"/>
  <c r="E68" i="10"/>
  <c r="E72" i="10"/>
  <c r="E80" i="10"/>
  <c r="E84" i="10"/>
  <c r="E88" i="10"/>
  <c r="E92" i="10"/>
  <c r="G8" i="10"/>
  <c r="G16" i="10"/>
  <c r="G24" i="10"/>
  <c r="G32" i="10"/>
  <c r="G40" i="10"/>
  <c r="G48" i="10"/>
  <c r="G56" i="10"/>
  <c r="G65" i="10"/>
  <c r="G73" i="10"/>
  <c r="G81" i="10"/>
  <c r="G89" i="10"/>
  <c r="G98" i="10"/>
  <c r="G106" i="10"/>
  <c r="C92" i="10"/>
  <c r="I92" i="10" s="1"/>
  <c r="J92" i="10" s="1"/>
  <c r="E76" i="10"/>
  <c r="D61" i="10"/>
  <c r="D65" i="10"/>
  <c r="D69" i="10"/>
  <c r="D73" i="10"/>
  <c r="D77" i="10"/>
  <c r="D81" i="10"/>
  <c r="D85" i="10"/>
  <c r="D89" i="10"/>
  <c r="D93" i="10"/>
  <c r="G9" i="10"/>
  <c r="G17" i="10"/>
  <c r="G25" i="10"/>
  <c r="G33" i="10"/>
  <c r="G41" i="10"/>
  <c r="G49" i="10"/>
  <c r="G57" i="10"/>
  <c r="G66" i="10"/>
  <c r="G74" i="10"/>
  <c r="G82" i="10"/>
  <c r="G90" i="10"/>
  <c r="G99" i="10"/>
  <c r="C95" i="10"/>
  <c r="I95" i="10" s="1"/>
  <c r="J95" i="10" s="1"/>
  <c r="E97" i="10"/>
  <c r="D100" i="10"/>
  <c r="E105" i="10"/>
  <c r="D108" i="10"/>
  <c r="H12" i="10"/>
  <c r="H28" i="10"/>
  <c r="H44" i="10"/>
  <c r="H61" i="10"/>
  <c r="H77" i="10"/>
  <c r="H93" i="10"/>
  <c r="D95" i="10"/>
  <c r="E100" i="10"/>
  <c r="D103" i="10"/>
  <c r="C106" i="10"/>
  <c r="I106" i="10" s="1"/>
  <c r="J106" i="10" s="1"/>
  <c r="E108" i="10"/>
  <c r="H13" i="10"/>
  <c r="H29" i="10"/>
  <c r="H45" i="10"/>
  <c r="H62" i="10"/>
  <c r="H78" i="10"/>
  <c r="H103" i="10"/>
  <c r="D106" i="10"/>
  <c r="H6" i="10"/>
  <c r="H14" i="10"/>
  <c r="H30" i="10"/>
  <c r="H46" i="10"/>
  <c r="H63" i="10"/>
  <c r="H79" i="10"/>
  <c r="H96" i="10"/>
  <c r="C96" i="10"/>
  <c r="I96" i="10" s="1"/>
  <c r="J96" i="10" s="1"/>
  <c r="E98" i="10"/>
  <c r="D101" i="10"/>
  <c r="C104" i="10"/>
  <c r="I104" i="10" s="1"/>
  <c r="J104" i="10" s="1"/>
  <c r="E106" i="10"/>
  <c r="H7" i="10"/>
  <c r="H23" i="10"/>
  <c r="H39" i="10"/>
  <c r="H55" i="10"/>
  <c r="H72" i="10"/>
  <c r="H88" i="10"/>
  <c r="H60" i="10"/>
  <c r="C99" i="10"/>
  <c r="I99" i="10" s="1"/>
  <c r="J99" i="10" s="1"/>
  <c r="C107" i="10"/>
  <c r="I107" i="10" s="1"/>
  <c r="J107" i="10" s="1"/>
  <c r="H8" i="10"/>
  <c r="H24" i="10"/>
  <c r="H40" i="10"/>
  <c r="H56" i="10"/>
  <c r="H73" i="10"/>
  <c r="H89" i="10"/>
  <c r="H94" i="10"/>
  <c r="C102" i="10"/>
  <c r="I102" i="10" s="1"/>
  <c r="J102" i="10" s="1"/>
  <c r="H9" i="10"/>
  <c r="H25" i="10"/>
  <c r="H41" i="10"/>
  <c r="H57" i="10"/>
  <c r="H74" i="10"/>
  <c r="H90" i="10"/>
  <c r="H99" i="10"/>
  <c r="E99" i="10"/>
  <c r="C105" i="10"/>
  <c r="I105" i="10" s="1"/>
  <c r="J105" i="10" s="1"/>
  <c r="E107" i="10"/>
  <c r="H10" i="10"/>
  <c r="H26" i="10"/>
  <c r="H34" i="10"/>
  <c r="H42" i="10"/>
  <c r="H50" i="10"/>
  <c r="H58" i="10"/>
  <c r="H67" i="10"/>
  <c r="H75" i="10"/>
  <c r="H83" i="10"/>
  <c r="H91" i="10"/>
  <c r="H100" i="10"/>
  <c r="H108" i="10"/>
  <c r="C103" i="10"/>
  <c r="I103" i="10" s="1"/>
  <c r="J103" i="10" s="1"/>
  <c r="H4" i="10"/>
  <c r="H20" i="10"/>
  <c r="H36" i="10"/>
  <c r="H52" i="10"/>
  <c r="H69" i="10"/>
  <c r="H85" i="10"/>
  <c r="H102" i="10"/>
  <c r="C98" i="10"/>
  <c r="I98" i="10" s="1"/>
  <c r="J98" i="10" s="1"/>
  <c r="H5" i="10"/>
  <c r="H21" i="10"/>
  <c r="H37" i="10"/>
  <c r="H53" i="10"/>
  <c r="H70" i="10"/>
  <c r="H86" i="10"/>
  <c r="H95" i="10"/>
  <c r="E95" i="10"/>
  <c r="D98" i="10"/>
  <c r="C101" i="10"/>
  <c r="I101" i="10" s="1"/>
  <c r="J101" i="10" s="1"/>
  <c r="E103" i="10"/>
  <c r="H22" i="10"/>
  <c r="H38" i="10"/>
  <c r="H54" i="10"/>
  <c r="H71" i="10"/>
  <c r="H87" i="10"/>
  <c r="H104" i="10"/>
  <c r="H15" i="10"/>
  <c r="H31" i="10"/>
  <c r="H47" i="10"/>
  <c r="H64" i="10"/>
  <c r="H80" i="10"/>
  <c r="H97" i="10"/>
  <c r="H105" i="10"/>
  <c r="D96" i="10"/>
  <c r="E101" i="10"/>
  <c r="D104" i="10"/>
  <c r="H16" i="10"/>
  <c r="H32" i="10"/>
  <c r="H48" i="10"/>
  <c r="H65" i="10"/>
  <c r="H81" i="10"/>
  <c r="H98" i="10"/>
  <c r="E96" i="10"/>
  <c r="D99" i="10"/>
  <c r="E104" i="10"/>
  <c r="D107" i="10"/>
  <c r="H17" i="10"/>
  <c r="H33" i="10"/>
  <c r="H49" i="10"/>
  <c r="H66" i="10"/>
  <c r="H82" i="10"/>
  <c r="H107" i="10"/>
  <c r="C97" i="10"/>
  <c r="I97" i="10" s="1"/>
  <c r="J97" i="10" s="1"/>
  <c r="D102" i="10"/>
  <c r="H18" i="10"/>
  <c r="D97" i="10"/>
  <c r="C100" i="10"/>
  <c r="I100" i="10" s="1"/>
  <c r="J100" i="10" s="1"/>
  <c r="E102" i="10"/>
  <c r="D105" i="10"/>
  <c r="C108" i="10"/>
  <c r="I108" i="10" s="1"/>
  <c r="J108" i="10" s="1"/>
  <c r="H11" i="10"/>
  <c r="H19" i="10"/>
  <c r="H27" i="10"/>
  <c r="H35" i="10"/>
  <c r="H43" i="10"/>
  <c r="H51" i="10"/>
  <c r="H59" i="10"/>
  <c r="H68" i="10"/>
  <c r="H76" i="10"/>
  <c r="H84" i="10"/>
  <c r="H92" i="10"/>
  <c r="C9" i="10"/>
  <c r="I9" i="10" s="1"/>
  <c r="J9" i="10" s="1"/>
  <c r="C57" i="10"/>
  <c r="I57" i="10" s="1"/>
  <c r="J57" i="10" s="1"/>
  <c r="D33" i="10"/>
  <c r="E24" i="10"/>
  <c r="C42" i="10"/>
  <c r="I42" i="10" s="1"/>
  <c r="J42" i="10" s="1"/>
  <c r="D34" i="10"/>
  <c r="C15" i="10"/>
  <c r="I15" i="10" s="1"/>
  <c r="J15" i="10" s="1"/>
  <c r="C47" i="10"/>
  <c r="I47" i="10" s="1"/>
  <c r="J47" i="10" s="1"/>
  <c r="D7" i="10"/>
  <c r="D39" i="10"/>
  <c r="E14" i="10"/>
  <c r="E30" i="10"/>
  <c r="C32" i="10"/>
  <c r="I32" i="10" s="1"/>
  <c r="J32" i="10" s="1"/>
  <c r="D24" i="10"/>
  <c r="D56" i="10"/>
  <c r="E31" i="10"/>
  <c r="C17" i="10"/>
  <c r="I17" i="10" s="1"/>
  <c r="J17" i="10" s="1"/>
  <c r="C49" i="10"/>
  <c r="I49" i="10" s="1"/>
  <c r="J49" i="10" s="1"/>
  <c r="D9" i="10"/>
  <c r="D25" i="10"/>
  <c r="D41" i="10"/>
  <c r="E16" i="10"/>
  <c r="E32" i="10"/>
  <c r="E55" i="10"/>
  <c r="C18" i="10"/>
  <c r="C34" i="10"/>
  <c r="I34" i="10" s="1"/>
  <c r="J34" i="10" s="1"/>
  <c r="C50" i="10"/>
  <c r="I50" i="10" s="1"/>
  <c r="J50" i="10" s="1"/>
  <c r="D10" i="10"/>
  <c r="D26" i="10"/>
  <c r="D42" i="10"/>
  <c r="D58" i="10"/>
  <c r="E17" i="10"/>
  <c r="E38" i="10"/>
  <c r="E56" i="10"/>
  <c r="E59" i="10"/>
  <c r="E43" i="10"/>
  <c r="E27" i="10"/>
  <c r="E11" i="10"/>
  <c r="D60" i="10"/>
  <c r="D44" i="10"/>
  <c r="D28" i="10"/>
  <c r="D12" i="10"/>
  <c r="C60" i="10"/>
  <c r="I60" i="10" s="1"/>
  <c r="J60" i="10" s="1"/>
  <c r="C44" i="10"/>
  <c r="I44" i="10" s="1"/>
  <c r="J44" i="10" s="1"/>
  <c r="C28" i="10"/>
  <c r="I28" i="10" s="1"/>
  <c r="J28" i="10" s="1"/>
  <c r="C12" i="10"/>
  <c r="I12" i="10" s="1"/>
  <c r="J12" i="10" s="1"/>
  <c r="E50" i="10"/>
  <c r="E34" i="10"/>
  <c r="E18" i="10"/>
  <c r="D59" i="10"/>
  <c r="D43" i="10"/>
  <c r="D27" i="10"/>
  <c r="D11" i="10"/>
  <c r="C59" i="10"/>
  <c r="I59" i="10" s="1"/>
  <c r="J59" i="10" s="1"/>
  <c r="C43" i="10"/>
  <c r="I43" i="10" s="1"/>
  <c r="J43" i="10" s="1"/>
  <c r="C27" i="10"/>
  <c r="I27" i="10" s="1"/>
  <c r="J27" i="10" s="1"/>
  <c r="C11" i="10"/>
  <c r="I11" i="10" s="1"/>
  <c r="J11" i="10" s="1"/>
  <c r="E57" i="10"/>
  <c r="E41" i="10"/>
  <c r="E51" i="10"/>
  <c r="E35" i="10"/>
  <c r="E19" i="10"/>
  <c r="D52" i="10"/>
  <c r="D36" i="10"/>
  <c r="D20" i="10"/>
  <c r="C52" i="10"/>
  <c r="I52" i="10" s="1"/>
  <c r="J52" i="10" s="1"/>
  <c r="C36" i="10"/>
  <c r="I36" i="10" s="1"/>
  <c r="J36" i="10" s="1"/>
  <c r="C20" i="10"/>
  <c r="I20" i="10" s="1"/>
  <c r="J20" i="10" s="1"/>
  <c r="E58" i="10"/>
  <c r="E42" i="10"/>
  <c r="E26" i="10"/>
  <c r="E10" i="10"/>
  <c r="D51" i="10"/>
  <c r="D35" i="10"/>
  <c r="D19" i="10"/>
  <c r="C51" i="10"/>
  <c r="I51" i="10" s="1"/>
  <c r="J51" i="10" s="1"/>
  <c r="C35" i="10"/>
  <c r="I35" i="10" s="1"/>
  <c r="J35" i="10" s="1"/>
  <c r="C19" i="10"/>
  <c r="I19" i="10" s="1"/>
  <c r="J19" i="10" s="1"/>
  <c r="E49" i="10"/>
  <c r="E33" i="10"/>
  <c r="C25" i="10"/>
  <c r="I25" i="10" s="1"/>
  <c r="J25" i="10" s="1"/>
  <c r="D17" i="10"/>
  <c r="E8" i="10"/>
  <c r="C10" i="10"/>
  <c r="I10" i="10" s="1"/>
  <c r="J10" i="10" s="1"/>
  <c r="C58" i="10"/>
  <c r="I58" i="10" s="1"/>
  <c r="J58" i="10" s="1"/>
  <c r="E9" i="10"/>
  <c r="C7" i="10"/>
  <c r="I7" i="10" s="1"/>
  <c r="J7" i="10" s="1"/>
  <c r="C23" i="10"/>
  <c r="I23" i="10" s="1"/>
  <c r="J23" i="10" s="1"/>
  <c r="C39" i="10"/>
  <c r="I39" i="10" s="1"/>
  <c r="J39" i="10" s="1"/>
  <c r="C55" i="10"/>
  <c r="I55" i="10" s="1"/>
  <c r="J55" i="10" s="1"/>
  <c r="D15" i="10"/>
  <c r="D31" i="10"/>
  <c r="D47" i="10"/>
  <c r="E6" i="10"/>
  <c r="E22" i="10"/>
  <c r="E39" i="10"/>
  <c r="C41" i="10"/>
  <c r="I41" i="10" s="1"/>
  <c r="J41" i="10" s="1"/>
  <c r="D49" i="10"/>
  <c r="E46" i="10"/>
  <c r="C26" i="10"/>
  <c r="I26" i="10" s="1"/>
  <c r="J26" i="10" s="1"/>
  <c r="D18" i="10"/>
  <c r="D50" i="10"/>
  <c r="E25" i="10"/>
  <c r="E47" i="10"/>
  <c r="C31" i="10"/>
  <c r="I31" i="10" s="1"/>
  <c r="J31" i="10" s="1"/>
  <c r="D23" i="10"/>
  <c r="D55" i="10"/>
  <c r="E48" i="10"/>
  <c r="C16" i="10"/>
  <c r="I16" i="10" s="1"/>
  <c r="J16" i="10" s="1"/>
  <c r="C48" i="10"/>
  <c r="I48" i="10" s="1"/>
  <c r="J48" i="10" s="1"/>
  <c r="D8" i="10"/>
  <c r="D40" i="10"/>
  <c r="E15" i="10"/>
  <c r="E54" i="10"/>
  <c r="C33" i="10"/>
  <c r="I33" i="10" s="1"/>
  <c r="J33" i="10" s="1"/>
  <c r="D57" i="10"/>
  <c r="C8" i="10"/>
  <c r="I8" i="10" s="1"/>
  <c r="J8" i="10" s="1"/>
  <c r="C24" i="10"/>
  <c r="I24" i="10" s="1"/>
  <c r="J24" i="10" s="1"/>
  <c r="C40" i="10"/>
  <c r="I40" i="10" s="1"/>
  <c r="J40" i="10" s="1"/>
  <c r="C56" i="10"/>
  <c r="I56" i="10" s="1"/>
  <c r="J56" i="10" s="1"/>
  <c r="D16" i="10"/>
  <c r="D32" i="10"/>
  <c r="D48" i="10"/>
  <c r="E7" i="10"/>
  <c r="E23" i="10"/>
  <c r="E40" i="10"/>
  <c r="C5" i="10"/>
  <c r="I5" i="10" s="1"/>
  <c r="J5" i="10" s="1"/>
  <c r="C13" i="10"/>
  <c r="I13" i="10" s="1"/>
  <c r="J13" i="10" s="1"/>
  <c r="C21" i="10"/>
  <c r="I21" i="10" s="1"/>
  <c r="J21" i="10" s="1"/>
  <c r="C29" i="10"/>
  <c r="I29" i="10" s="1"/>
  <c r="J29" i="10" s="1"/>
  <c r="C37" i="10"/>
  <c r="I37" i="10" s="1"/>
  <c r="J37" i="10" s="1"/>
  <c r="C45" i="10"/>
  <c r="I45" i="10" s="1"/>
  <c r="J45" i="10" s="1"/>
  <c r="C53" i="10"/>
  <c r="I53" i="10" s="1"/>
  <c r="J53" i="10" s="1"/>
  <c r="D5" i="10"/>
  <c r="D13" i="10"/>
  <c r="D21" i="10"/>
  <c r="D29" i="10"/>
  <c r="D37" i="10"/>
  <c r="D45" i="10"/>
  <c r="D53" i="10"/>
  <c r="E12" i="10"/>
  <c r="E20" i="10"/>
  <c r="E28" i="10"/>
  <c r="E36" i="10"/>
  <c r="E44" i="10"/>
  <c r="E52" i="10"/>
  <c r="E60" i="10"/>
  <c r="C6" i="10"/>
  <c r="I6" i="10" s="1"/>
  <c r="J6" i="10" s="1"/>
  <c r="C14" i="10"/>
  <c r="I14" i="10" s="1"/>
  <c r="J14" i="10" s="1"/>
  <c r="C22" i="10"/>
  <c r="I22" i="10" s="1"/>
  <c r="J22" i="10" s="1"/>
  <c r="C30" i="10"/>
  <c r="I30" i="10" s="1"/>
  <c r="J30" i="10" s="1"/>
  <c r="C38" i="10"/>
  <c r="I38" i="10" s="1"/>
  <c r="J38" i="10" s="1"/>
  <c r="C46" i="10"/>
  <c r="I46" i="10" s="1"/>
  <c r="J46" i="10" s="1"/>
  <c r="C54" i="10"/>
  <c r="I54" i="10" s="1"/>
  <c r="J54" i="10" s="1"/>
  <c r="D6" i="10"/>
  <c r="D14" i="10"/>
  <c r="D22" i="10"/>
  <c r="D30" i="10"/>
  <c r="D38" i="10"/>
  <c r="D46" i="10"/>
  <c r="D54" i="10"/>
  <c r="E5" i="10"/>
  <c r="E13" i="10"/>
  <c r="E21" i="10"/>
  <c r="E29" i="10"/>
  <c r="E37" i="10"/>
  <c r="E45" i="10"/>
  <c r="E53" i="10"/>
  <c r="E4" i="28" l="1"/>
  <c r="C6" i="29"/>
  <c r="D4" i="28"/>
  <c r="E5" i="29"/>
  <c r="C4" i="28"/>
  <c r="D5" i="29"/>
  <c r="C5" i="29"/>
  <c r="C6" i="28"/>
  <c r="D4" i="29"/>
  <c r="E6" i="29"/>
  <c r="C5" i="28"/>
  <c r="E6" i="28"/>
  <c r="E5" i="28"/>
  <c r="D5" i="28"/>
  <c r="D6" i="28"/>
  <c r="E4" i="29"/>
  <c r="C4" i="29"/>
  <c r="D6" i="29"/>
  <c r="J4" i="10"/>
  <c r="C4" i="31"/>
  <c r="D14" i="31"/>
  <c r="C8" i="31"/>
  <c r="C27" i="31"/>
  <c r="E18" i="31"/>
  <c r="E23" i="31"/>
  <c r="E13" i="31"/>
  <c r="E20" i="31"/>
  <c r="E16" i="31"/>
  <c r="C15" i="31"/>
  <c r="E10" i="31"/>
  <c r="E8" i="31"/>
  <c r="E21" i="31"/>
  <c r="C21" i="31"/>
  <c r="E15" i="31"/>
  <c r="E14" i="31"/>
  <c r="C6" i="31"/>
  <c r="E5" i="31"/>
  <c r="C16" i="31"/>
  <c r="E11" i="31"/>
  <c r="D10" i="31"/>
  <c r="C18" i="31"/>
  <c r="E6" i="31"/>
  <c r="D12" i="31"/>
  <c r="D13" i="31"/>
  <c r="D5" i="31"/>
  <c r="D6" i="31"/>
  <c r="E12" i="31"/>
  <c r="D23" i="31"/>
  <c r="D27" i="31"/>
  <c r="D16" i="31"/>
  <c r="E27" i="31"/>
  <c r="E4" i="31"/>
  <c r="C5" i="31"/>
  <c r="C11" i="31"/>
  <c r="C12" i="31"/>
  <c r="D21" i="31"/>
  <c r="C14" i="31"/>
  <c r="C20" i="31"/>
  <c r="D18" i="31"/>
  <c r="C23" i="31"/>
  <c r="D8" i="31"/>
  <c r="D11" i="31"/>
  <c r="G11" i="31" s="1"/>
  <c r="C10" i="31"/>
  <c r="D15" i="31"/>
  <c r="D20" i="31"/>
  <c r="D4" i="31"/>
  <c r="G4" i="31" s="1"/>
  <c r="C13" i="31"/>
  <c r="C7" i="28" l="1"/>
  <c r="D7" i="28"/>
  <c r="E7" i="28"/>
  <c r="H16" i="31"/>
  <c r="G18" i="31"/>
  <c r="G12" i="31"/>
  <c r="G14" i="31"/>
  <c r="G21" i="31"/>
  <c r="G5" i="31"/>
  <c r="G13" i="31"/>
  <c r="H6" i="31"/>
  <c r="G20" i="31"/>
  <c r="G16" i="31"/>
  <c r="G23" i="31"/>
  <c r="H4" i="31"/>
  <c r="G15" i="31"/>
  <c r="H15" i="31"/>
  <c r="H13" i="31"/>
  <c r="G10" i="31"/>
  <c r="H5" i="31"/>
  <c r="H14" i="31"/>
  <c r="H23" i="31"/>
  <c r="H20" i="31"/>
  <c r="G8" i="31"/>
  <c r="H21" i="31"/>
  <c r="H12" i="31"/>
  <c r="H11" i="31"/>
  <c r="H8" i="31"/>
  <c r="H18" i="31"/>
  <c r="G6" i="31"/>
  <c r="H10" i="31"/>
  <c r="C7" i="31"/>
  <c r="C9" i="31" s="1"/>
  <c r="D7" i="31"/>
  <c r="E7" i="31"/>
  <c r="C31" i="31" l="1"/>
  <c r="C7" i="29"/>
  <c r="C5" i="26"/>
  <c r="D9" i="31"/>
  <c r="G7" i="31"/>
  <c r="C17" i="31"/>
  <c r="E9" i="31"/>
  <c r="H7" i="31"/>
  <c r="E31" i="31" l="1"/>
  <c r="E7" i="29"/>
  <c r="E5" i="26"/>
  <c r="D31" i="31"/>
  <c r="D5" i="26"/>
  <c r="D7" i="29"/>
  <c r="C19" i="31"/>
  <c r="C33" i="31" s="1"/>
  <c r="C32" i="31"/>
  <c r="D17" i="31"/>
  <c r="C3" i="27" s="1"/>
  <c r="G9" i="31"/>
  <c r="E17" i="31"/>
  <c r="C7" i="27" s="1"/>
  <c r="H9" i="31"/>
  <c r="C9" i="27" l="1"/>
  <c r="C22" i="31"/>
  <c r="C24" i="31" s="1"/>
  <c r="C28" i="31" s="1"/>
  <c r="E32" i="31"/>
  <c r="E19" i="31"/>
  <c r="D32" i="31"/>
  <c r="D19" i="31"/>
  <c r="G17" i="31"/>
  <c r="H17" i="31"/>
  <c r="D33" i="31" l="1"/>
  <c r="D22" i="31"/>
  <c r="D24" i="31" s="1"/>
  <c r="G19" i="31"/>
  <c r="E33" i="31"/>
  <c r="E22" i="31"/>
  <c r="E24" i="31" s="1"/>
  <c r="H19" i="31"/>
  <c r="G22" i="31" l="1"/>
  <c r="H22" i="31"/>
  <c r="D28" i="31"/>
  <c r="G24" i="31"/>
  <c r="E28" i="31"/>
  <c r="H2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I18" authorId="0" shapeId="0" xr:uid="{B6FFFE99-18CF-43E8-857D-80C884A2DF0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This Error is just for Example Purpose the correct value in this place is D&amp;A.
</t>
        </r>
      </text>
    </comment>
  </commentList>
</comments>
</file>

<file path=xl/sharedStrings.xml><?xml version="1.0" encoding="utf-8"?>
<sst xmlns="http://schemas.openxmlformats.org/spreadsheetml/2006/main" count="876" uniqueCount="271">
  <si>
    <t>Partner company number</t>
  </si>
  <si>
    <t>Not assigned</t>
  </si>
  <si>
    <t>Wages and salaries</t>
  </si>
  <si>
    <t>Social security payments</t>
  </si>
  <si>
    <t>1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</si>
  <si>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</si>
  <si>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</si>
  <si>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</si>
  <si>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</si>
  <si>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</si>
  <si>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</si>
  <si>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</si>
  <si>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</si>
  <si>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</si>
  <si>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</si>
  <si>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</si>
  <si>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</si>
  <si>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</si>
  <si>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</si>
  <si>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</si>
  <si>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</si>
  <si>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</si>
  <si>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</si>
  <si>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</si>
  <si>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</si>
  <si>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</si>
  <si>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</si>
  <si>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</si>
  <si>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</si>
  <si>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</si>
  <si>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</si>
  <si>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</si>
  <si>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</si>
  <si>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</si>
  <si>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</si>
  <si>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</si>
  <si>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</si>
  <si>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</si>
  <si>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</si>
  <si>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</si>
  <si>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</si>
  <si>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</si>
  <si>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</si>
  <si>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</si>
  <si>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</si>
  <si>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</si>
  <si>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</si>
  <si>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</si>
  <si>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</si>
  <si>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</si>
  <si>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</si>
  <si>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</si>
  <si>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</si>
  <si>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</si>
  <si>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</si>
  <si>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</si>
  <si>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</si>
  <si>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</si>
  <si>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</si>
  <si>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</si>
  <si>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</si>
  <si>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</si>
  <si>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</si>
  <si>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</si>
  <si>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</si>
  <si>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</si>
  <si>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</si>
  <si>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</si>
  <si>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</si>
  <si>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</si>
  <si>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</si>
  <si>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</si>
  <si>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</si>
  <si>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</si>
  <si>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</si>
  <si>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</si>
  <si>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</si>
  <si>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</si>
  <si>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</si>
  <si>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</si>
  <si>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</si>
  <si>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</si>
  <si>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</si>
  <si>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</si>
  <si>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</si>
  <si>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</si>
  <si>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</si>
  <si>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</si>
  <si>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</si>
  <si>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</si>
  <si>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</si>
  <si>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</si>
  <si>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</si>
  <si>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</si>
  <si>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</si>
  <si>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</si>
  <si>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</si>
  <si>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</si>
  <si>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</si>
  <si>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</si>
  <si>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</si>
  <si>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</si>
  <si>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</si>
  <si>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</si>
  <si>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</si>
  <si>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</si>
  <si>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</si>
  <si>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</si>
  <si>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</si>
  <si>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</si>
  <si>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</si>
  <si>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P&amp;L account</t>
  </si>
  <si>
    <t>Name of Partner Company</t>
  </si>
  <si>
    <t>Amounts</t>
  </si>
  <si>
    <t>Acount Number</t>
  </si>
  <si>
    <t>Code</t>
  </si>
  <si>
    <t>2001110000111111</t>
  </si>
  <si>
    <t>P&amp;L Account</t>
  </si>
  <si>
    <t>Names of Partner Company</t>
  </si>
  <si>
    <t>Amount</t>
  </si>
  <si>
    <t>Account Number</t>
  </si>
  <si>
    <t>2001110000105</t>
  </si>
  <si>
    <t>Account number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</si>
  <si>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</si>
  <si>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</si>
  <si>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</si>
  <si>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</si>
  <si>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</si>
  <si>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</si>
  <si>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</si>
  <si>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</si>
  <si>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</si>
  <si>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</si>
  <si>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</si>
  <si>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</si>
  <si>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</si>
  <si>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</si>
  <si>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</si>
  <si>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</si>
  <si>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</si>
  <si>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</si>
  <si>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</si>
  <si>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</si>
  <si>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</si>
  <si>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</si>
  <si>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</si>
  <si>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</si>
  <si>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</si>
  <si>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</si>
  <si>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</si>
  <si>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</si>
  <si>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</si>
  <si>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</si>
  <si>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</si>
  <si>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</si>
  <si>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</si>
  <si>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</si>
  <si>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</si>
  <si>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</si>
  <si>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</si>
  <si>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</si>
  <si>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</si>
  <si>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</si>
  <si>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</si>
  <si>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</si>
  <si>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</si>
  <si>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</si>
  <si>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</si>
  <si>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</si>
  <si>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</si>
  <si>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</si>
  <si>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</si>
  <si>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</si>
  <si>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</si>
  <si>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</si>
  <si>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</si>
  <si>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</si>
  <si>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</si>
  <si>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</si>
  <si>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</si>
  <si>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</si>
  <si>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</si>
  <si>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</si>
  <si>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</si>
  <si>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</si>
  <si>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</si>
  <si>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</si>
  <si>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</si>
  <si>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</si>
  <si>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</si>
  <si>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</si>
  <si>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</si>
  <si>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</si>
  <si>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</si>
  <si>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</si>
  <si>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</si>
  <si>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</si>
  <si>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</si>
  <si>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</si>
  <si>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</si>
  <si>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</si>
  <si>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</si>
  <si>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</si>
  <si>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</si>
  <si>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</si>
  <si>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</si>
  <si>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</si>
  <si>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</si>
  <si>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</si>
  <si>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</si>
  <si>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</si>
  <si>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</si>
  <si>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</si>
  <si>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</si>
  <si>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</si>
  <si>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</si>
  <si>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</si>
  <si>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</si>
  <si>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</si>
  <si>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</si>
  <si>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</si>
  <si>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</si>
  <si>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</si>
  <si>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</si>
  <si>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</si>
  <si>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</si>
  <si>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 xml:space="preserve">Partner Company </t>
  </si>
  <si>
    <t>FY16</t>
  </si>
  <si>
    <t>FY17</t>
  </si>
  <si>
    <t>FY18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</si>
  <si>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</si>
  <si>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</si>
  <si>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</si>
  <si>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</si>
  <si>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</si>
  <si>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</si>
  <si>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</si>
  <si>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-</t>
  </si>
  <si>
    <t>Financial items</t>
  </si>
  <si>
    <t>Extraordinary items</t>
  </si>
  <si>
    <t>Taxes</t>
  </si>
  <si>
    <t>Net Income</t>
  </si>
  <si>
    <t>Mapping</t>
  </si>
  <si>
    <t>P&amp;L Statements</t>
  </si>
  <si>
    <t>Total revenues</t>
  </si>
  <si>
    <t>Gross margin</t>
  </si>
  <si>
    <t>EBITDA</t>
  </si>
  <si>
    <t>EBIT</t>
  </si>
  <si>
    <t>EBT</t>
  </si>
  <si>
    <t>Check</t>
  </si>
  <si>
    <t>Check (differences)</t>
  </si>
  <si>
    <t>Error</t>
  </si>
  <si>
    <t>Var% FY16-FY17</t>
  </si>
  <si>
    <t>Var% FY17-FY18</t>
  </si>
  <si>
    <t>GM%</t>
  </si>
  <si>
    <t>EBITDA%</t>
  </si>
  <si>
    <t>EBIT%</t>
  </si>
  <si>
    <t>Key Performance Indicator</t>
  </si>
  <si>
    <t>Gross Margin %</t>
  </si>
  <si>
    <t>Column Stacked Chart</t>
  </si>
  <si>
    <t>Dougnut Chart</t>
  </si>
  <si>
    <t>Area Chart</t>
  </si>
  <si>
    <t>Revenues</t>
  </si>
  <si>
    <t>EBITDA FY17</t>
  </si>
  <si>
    <t>Change in Revenues</t>
  </si>
  <si>
    <t>Change in Opex</t>
  </si>
  <si>
    <t>EBITDA FY18</t>
  </si>
  <si>
    <t>Bridge Chart</t>
  </si>
  <si>
    <t>Change in Variable costs</t>
  </si>
  <si>
    <t>Count</t>
  </si>
  <si>
    <t>Rupees in Lakhs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</si>
</sst>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_);_(* \(#,##0\);_(* &quot;-&quot;??_);_(@_)"/>
    <numFmt numFmtId="167" formatCode="\=\x"/>
    <numFmt numFmtId="168" formatCode="0.0"/>
    <numFmt numFmtId="175" formatCode="_(* #,##0.0_);_(* \(#,##0.0\);_(* &quot;-&quot;??_);_(@_)"/>
    <numFmt numFmtId="176" formatCode="0.0%"/>
  </numFmts>
  <fonts count="31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0"/>
      <name val="Calibri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1"/>
      <color theme="0"/>
      <name val="Calibri"/>
      <family val="2"/>
    </font>
    <font>
      <b/>
      <sz val="12"/>
      <color rgb="FF7030A0"/>
      <name val="Arial"/>
      <family val="2"/>
    </font>
    <font>
      <b/>
      <sz val="12"/>
      <color theme="5"/>
      <name val="Arial"/>
      <family val="2"/>
    </font>
    <font>
      <b/>
      <sz val="11"/>
      <color theme="5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"/>
      <color theme="8" tint="-0.49998474074526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rgb="FF002060"/>
      </top>
      <bottom/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rgb="FF002060"/>
      </top>
      <bottom style="medium">
        <color rgb="FF002060"/>
      </bottom>
      <diagonal/>
    </border>
  </borders>
  <cellStyleXfs count="5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9" fontId="13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>
      <alignment horizontal="center"/>
    </xf>
    <xf numFmtId="0" fontId="1" fillId="2" borderId="0" xfId="0" applyNumberFormat="1" applyFont="1" applyFill="1" applyAlignment="1">
      <alignment horizontal="left"/>
    </xf>
    <xf numFmtId="0" fontId="0" fillId="0" borderId="0" xfId="0" applyAlignment="1">
      <alignment horizontal="left"/>
    </xf>
    <xf numFmtId="167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20" fillId="5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0" fillId="2" borderId="3" xfId="0" applyFill="1" applyBorder="1"/>
    <xf numFmtId="0" fontId="17" fillId="2" borderId="4" xfId="0" applyFont="1" applyFill="1" applyBorder="1"/>
    <xf numFmtId="0" fontId="17" fillId="2" borderId="4" xfId="0" applyFont="1" applyFill="1" applyBorder="1" applyAlignment="1">
      <alignment horizontal="right"/>
    </xf>
    <xf numFmtId="0" fontId="18" fillId="6" borderId="3" xfId="0" applyFont="1" applyFill="1" applyBorder="1"/>
    <xf numFmtId="0" fontId="0" fillId="2" borderId="5" xfId="0" applyFill="1" applyBorder="1"/>
    <xf numFmtId="0" fontId="21" fillId="5" borderId="0" xfId="0" applyFont="1" applyFill="1"/>
    <xf numFmtId="0" fontId="22" fillId="5" borderId="0" xfId="0" applyFont="1" applyFill="1"/>
    <xf numFmtId="0" fontId="10" fillId="6" borderId="2" xfId="0" applyFont="1" applyFill="1" applyBorder="1" applyAlignment="1">
      <alignment horizontal="left"/>
    </xf>
    <xf numFmtId="0" fontId="8" fillId="6" borderId="4" xfId="0" applyFont="1" applyFill="1" applyBorder="1"/>
    <xf numFmtId="0" fontId="10" fillId="2" borderId="0" xfId="0" applyFont="1" applyFill="1"/>
    <xf numFmtId="0" fontId="23" fillId="6" borderId="2" xfId="0" applyFont="1" applyFill="1" applyBorder="1"/>
    <xf numFmtId="0" fontId="1" fillId="4" borderId="0" xfId="0" applyFont="1" applyFill="1"/>
    <xf numFmtId="0" fontId="10" fillId="6" borderId="2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0" fillId="2" borderId="0" xfId="0" applyFill="1" applyBorder="1"/>
    <xf numFmtId="9" fontId="0" fillId="2" borderId="0" xfId="4" applyFont="1" applyFill="1" applyAlignment="1">
      <alignment horizontal="right"/>
    </xf>
    <xf numFmtId="9" fontId="0" fillId="2" borderId="3" xfId="4" applyFont="1" applyFill="1" applyBorder="1" applyAlignment="1">
      <alignment horizontal="right"/>
    </xf>
    <xf numFmtId="9" fontId="18" fillId="6" borderId="3" xfId="4" applyFont="1" applyFill="1" applyBorder="1" applyAlignment="1">
      <alignment horizontal="right"/>
    </xf>
    <xf numFmtId="9" fontId="0" fillId="2" borderId="5" xfId="4" applyFont="1" applyFill="1" applyBorder="1" applyAlignment="1">
      <alignment horizontal="right"/>
    </xf>
    <xf numFmtId="0" fontId="0" fillId="8" borderId="0" xfId="0" applyFill="1" applyBorder="1"/>
    <xf numFmtId="0" fontId="0" fillId="9" borderId="0" xfId="0" applyFill="1"/>
    <xf numFmtId="9" fontId="0" fillId="9" borderId="0" xfId="4" applyFont="1" applyFill="1"/>
    <xf numFmtId="0" fontId="0" fillId="10" borderId="0" xfId="0" applyFill="1"/>
    <xf numFmtId="175" fontId="0" fillId="2" borderId="0" xfId="0" applyNumberFormat="1" applyFill="1" applyAlignment="1">
      <alignment horizontal="right"/>
    </xf>
    <xf numFmtId="175" fontId="0" fillId="2" borderId="0" xfId="0" applyNumberFormat="1" applyFill="1"/>
    <xf numFmtId="175" fontId="0" fillId="2" borderId="3" xfId="0" applyNumberFormat="1" applyFill="1" applyBorder="1"/>
    <xf numFmtId="175" fontId="18" fillId="6" borderId="3" xfId="0" applyNumberFormat="1" applyFont="1" applyFill="1" applyBorder="1"/>
    <xf numFmtId="175" fontId="0" fillId="2" borderId="5" xfId="0" applyNumberFormat="1" applyFill="1" applyBorder="1"/>
    <xf numFmtId="175" fontId="0" fillId="2" borderId="0" xfId="0" applyNumberFormat="1" applyFill="1" applyBorder="1"/>
    <xf numFmtId="175" fontId="0" fillId="8" borderId="0" xfId="0" applyNumberFormat="1" applyFill="1" applyBorder="1"/>
    <xf numFmtId="2" fontId="1" fillId="2" borderId="0" xfId="0" applyNumberFormat="1" applyFont="1" applyFill="1"/>
    <xf numFmtId="168" fontId="1" fillId="2" borderId="0" xfId="0" applyNumberFormat="1" applyFont="1" applyFill="1"/>
    <xf numFmtId="0" fontId="0" fillId="2" borderId="0" xfId="0" applyFill="1" applyAlignment="1">
      <alignment horizontal="left"/>
    </xf>
    <xf numFmtId="176" fontId="0" fillId="2" borderId="0" xfId="4" applyNumberFormat="1" applyFont="1" applyFill="1" applyAlignment="1">
      <alignment horizontal="right"/>
    </xf>
    <xf numFmtId="0" fontId="24" fillId="2" borderId="0" xfId="0" applyFont="1" applyFill="1"/>
    <xf numFmtId="0" fontId="25" fillId="2" borderId="0" xfId="0" applyFont="1" applyFill="1"/>
    <xf numFmtId="0" fontId="26" fillId="2" borderId="4" xfId="0" applyFont="1" applyFill="1" applyBorder="1" applyAlignment="1">
      <alignment horizontal="right"/>
    </xf>
    <xf numFmtId="0" fontId="27" fillId="2" borderId="4" xfId="0" applyFont="1" applyFill="1" applyBorder="1" applyAlignment="1">
      <alignment horizontal="right"/>
    </xf>
    <xf numFmtId="175" fontId="1" fillId="2" borderId="0" xfId="0" applyNumberFormat="1" applyFont="1" applyFill="1"/>
    <xf numFmtId="175" fontId="1" fillId="2" borderId="0" xfId="0" applyNumberFormat="1" applyFont="1" applyFill="1" applyAlignment="1">
      <alignment wrapText="1"/>
    </xf>
    <xf numFmtId="175" fontId="1" fillId="4" borderId="0" xfId="0" applyNumberFormat="1" applyFont="1" applyFill="1"/>
    <xf numFmtId="0" fontId="28" fillId="2" borderId="0" xfId="0" applyFont="1" applyFill="1"/>
  </cellXfs>
  <cellStyles count="5">
    <cellStyle name="Comma" xfId="2" builtinId="3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'.1 Column Stacked Chart'!$B$4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1" i="0" u="none" strike="noStrike" kern="1200" baseline="0">
                      <a:solidFill>
                        <a:schemeClr val="bg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01E7-410D-9F28-944B6EC7F11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'.1 Column Stacked Chart'!$C$4:$E$4</c:f>
              <c:numCache>
                <c:formatCode>_(* #,##0.0_);_(* \(#,##0.0\);_(* "-"??_);_(@_)</c:formatCode>
                <c:ptCount val="3"/>
                <c:pt idx="0">
                  <c:v>145.00341</c:v>
                </c:pt>
                <c:pt idx="1">
                  <c:v>161.48295365000001</c:v>
                </c:pt>
                <c:pt idx="2">
                  <c:v>150.47803019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E7-410D-9F28-944B6EC7F116}"/>
            </c:ext>
          </c:extLst>
        </c:ser>
        <c:ser>
          <c:idx val="1"/>
          <c:order val="1"/>
          <c:tx>
            <c:strRef>
              <c:f>'.1 Column Stacked Chart'!$B$5</c:f>
              <c:strCache>
                <c:ptCount val="1"/>
                <c:pt idx="0">
                  <c:v>Other revenues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'.1 Column Stacked Chart'!$C$5:$E$5</c:f>
              <c:numCache>
                <c:formatCode>_(* #,##0.0_);_(* \(#,##0.0\);_(* "-"??_);_(@_)</c:formatCode>
                <c:ptCount val="3"/>
                <c:pt idx="0">
                  <c:v>47.948561919999996</c:v>
                </c:pt>
                <c:pt idx="1">
                  <c:v>69.602176450000002</c:v>
                </c:pt>
                <c:pt idx="2">
                  <c:v>63.736175140000007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E7-410D-9F28-944B6EC7F116}"/>
            </c:ext>
          </c:extLst>
        </c:ser>
        <c:ser>
          <c:idx val="2"/>
          <c:order val="2"/>
          <c:tx>
            <c:strRef>
              <c:f>'.1 Column Stacked Chart'!$B$6</c:f>
              <c:strCache>
                <c:ptCount val="1"/>
                <c:pt idx="0">
                  <c:v>Recharges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01E7-410D-9F28-944B6EC7F1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'.1 Column Stacked Chart'!$C$6:$E$6</c:f>
              <c:numCache>
                <c:formatCode>_(* #,##0.0_);_(* \(#,##0.0\);_(* "-"??_);_(@_)</c:formatCode>
                <c:ptCount val="3"/>
                <c:pt idx="0">
                  <c:v>32.200542519999999</c:v>
                </c:pt>
                <c:pt idx="1">
                  <c:v>29.240919950000002</c:v>
                </c:pt>
                <c:pt idx="2">
                  <c:v>48.931777299999993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1E7-410D-9F28-944B6EC7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021444383"/>
        <c:axId val="2021447263"/>
      </c:barChart>
      <c:lineChart>
        <c:grouping val="standard"/>
        <c:varyColors val="0"/>
        <c:ser>
          <c:idx val="3"/>
          <c:order val="3"/>
          <c:tx>
            <c:strRef>
              <c:f>'.1 Column Stacked Chart'!$B$7</c:f>
              <c:strCache>
                <c:ptCount val="1"/>
                <c:pt idx="0">
                  <c:v>GM%</c:v>
                </c:pt>
              </c:strCache>
            </c:strRef>
          </c:tx>
          <c:spPr>
            <a:ln w="28575" cap="rnd">
              <a:solidFill>
                <a:srgbClr val="FF0000">
                  <a:alpha val="97000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'.1 Column Stacked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'.1 Column Stacked Chart'!$C$7:$E$7</c:f>
              <c:numCache>
                <c:formatCode>0.0%</c:formatCode>
                <c:ptCount val="3"/>
                <c:pt idx="0">
                  <c:v>0.80329281353949777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1E7-410D-9F28-944B6EC7F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70202095"/>
        <c:axId val="1799673295"/>
      </c:lineChart>
      <c:catAx>
        <c:axId val="2021444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1447263"/>
        <c:crosses val="autoZero"/>
        <c:auto val="1"/>
        <c:lblAlgn val="ctr"/>
        <c:lblOffset val="100"/>
        <c:noMultiLvlLbl val="0"/>
      </c:catAx>
      <c:valAx>
        <c:axId val="202144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1444383"/>
        <c:crosses val="autoZero"/>
        <c:crossBetween val="between"/>
      </c:valAx>
      <c:valAx>
        <c:axId val="1799673295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470202095"/>
        <c:crosses val="max"/>
        <c:crossBetween val="between"/>
      </c:valAx>
      <c:catAx>
        <c:axId val="14702020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99673295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 b="1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1">
                <a:solidFill>
                  <a:schemeClr val="accent2"/>
                </a:solidFill>
              </a:rPr>
              <a:t>Breakdown of Revenues in FY16</a:t>
            </a:r>
          </a:p>
        </c:rich>
      </c:tx>
      <c:layout>
        <c:manualLayout>
          <c:xMode val="edge"/>
          <c:yMode val="edge"/>
          <c:x val="4.8276254624798405E-2"/>
          <c:y val="4.96894409937888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'3.2 Dougnut chart'!$C$3</c:f>
              <c:strCache>
                <c:ptCount val="1"/>
                <c:pt idx="0">
                  <c:v>FY16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87-4381-8F32-4626E3BBF1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5387-4381-8F32-4626E3BBF160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387-4381-8F32-4626E3BBF16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chart'!$C$4:$C$6</c:f>
              <c:numCache>
                <c:formatCode>_(* #,##0.0_);_(* \(#,##0.0\);_(* "-"??_);_(@_)</c:formatCode>
                <c:ptCount val="3"/>
                <c:pt idx="0">
                  <c:v>145.00341</c:v>
                </c:pt>
                <c:pt idx="1">
                  <c:v>47.948561919999996</c:v>
                </c:pt>
                <c:pt idx="2">
                  <c:v>32.200542519999999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7-4381-8F32-4626E3BBF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000" b="1">
                <a:solidFill>
                  <a:srgbClr val="00B050"/>
                </a:solidFill>
              </a:rPr>
              <a:t>Breakdown of Revenues in FY16</a:t>
            </a:r>
          </a:p>
        </c:rich>
      </c:tx>
      <c:layout>
        <c:manualLayout>
          <c:xMode val="edge"/>
          <c:yMode val="edge"/>
          <c:x val="4.0986784140969179E-2"/>
          <c:y val="5.09554140127388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'3.2 Dougnut chart'!$D$3</c:f>
              <c:strCache>
                <c:ptCount val="1"/>
                <c:pt idx="0">
                  <c:v>FY17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04-4FD1-8F37-A86B6B93A35F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C04-4FD1-8F37-A86B6B93A35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04-4FD1-8F37-A86B6B93A3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'3.2 Dougnut chart'!$B$4:$B$6</c:f>
              <c:strCache>
                <c:ptCount val="3"/>
                <c:pt idx="0">
                  <c:v>Net Sales</c:v>
                </c:pt>
                <c:pt idx="1">
                  <c:v>Other revenues</c:v>
                </c:pt>
                <c:pt idx="2">
                  <c:v>Recharges</c:v>
                </c:pt>
              </c:strCache>
            </c:strRef>
          </c:cat>
          <c:val>
            <c:numRef>
              <c:f>'3.2 Dougnut chart'!$D$4:$D$6</c:f>
              <c:numCache>
                <c:formatCode>_(* #,##0.0_);_(* \(#,##0.0\);_(* "-"??_);_(@_)</c:formatCode>
                <c:ptCount val="3"/>
                <c:pt idx="0">
                  <c:v>161.48295365000001</c:v>
                </c:pt>
                <c:pt idx="1">
                  <c:v>69.602176450000002</c:v>
                </c:pt>
                <c:pt idx="2">
                  <c:v>29.240919950000002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04-4FD1-8F37-A86B6B93A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00" b="1" i="0" u="none" strike="noStrike" kern="1200" spc="0" baseline="0">
                <a:solidFill>
                  <a:srgbClr val="7030A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IN" sz="900">
                <a:solidFill>
                  <a:srgbClr val="7030A0"/>
                </a:solidFill>
              </a:rPr>
              <a:t>FY16-FY18 Revenues and Gross Margin %</a:t>
            </a:r>
          </a:p>
        </c:rich>
      </c:tx>
      <c:layout>
        <c:manualLayout>
          <c:xMode val="edge"/>
          <c:yMode val="edge"/>
          <c:x val="1.9513390840687005E-2"/>
          <c:y val="6.61386076740407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spc="0" baseline="0">
              <a:solidFill>
                <a:srgbClr val="7030A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'3.3 Area chart'!$B$4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cat>
            <c:strRef>
              <c:f>'3.3 Area chart'!$C$3:$E$3</c:f>
              <c:strCache>
                <c:ptCount val="3"/>
                <c:pt idx="0">
                  <c:v>FY16</c:v>
                </c:pt>
                <c:pt idx="1">
                  <c:v>FY17</c:v>
                </c:pt>
                <c:pt idx="2">
                  <c:v>FY18</c:v>
                </c:pt>
              </c:strCache>
            </c:strRef>
          </c:cat>
          <c:val>
            <c:numRef>
              <c:f>'3.3 Area chart'!$C$4:$E$4</c:f>
              <c:numCache>
                <c:formatCode>0.0</c:formatCode>
                <c:ptCount val="3"/>
                <c:pt idx="0">
                  <c:v>22.515251444</c:v>
                </c:pt>
                <c:pt idx="1">
                  <c:v>26.032605005000001</c:v>
                </c:pt>
                <c:pt idx="2">
                  <c:v>26.314598263000001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EF-4B7C-9790-0B5B6552D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289839"/>
        <c:axId val="507516975"/>
      </c:areaChart>
      <c:lineChart>
        <c:grouping val="standard"/>
        <c:varyColors val="0"/>
        <c:ser>
          <c:idx val="1"/>
          <c:order val="1"/>
          <c:tx>
            <c:strRef>
              <c:f>'3.3 Area chart'!$B$5</c:f>
              <c:strCache>
                <c:ptCount val="1"/>
                <c:pt idx="0">
                  <c:v>Gross Margin %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'3.3 Area chart'!$C$5:$E$5</c:f>
              <c:numCache>
                <c:formatCode>0.0%</c:formatCode>
                <c:ptCount val="3"/>
                <c:pt idx="0">
                  <c:v>0.80329281353949777</c:v>
                </c:pt>
                <c:pt idx="1">
                  <c:v>0.79014052477841912</c:v>
                </c:pt>
                <c:pt idx="2">
                  <c:v>0.78437246085651935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B1EF-4B7C-9790-0B5B6552D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1452543"/>
        <c:axId val="2021457343"/>
      </c:lineChart>
      <c:catAx>
        <c:axId val="258289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507516975"/>
        <c:crosses val="autoZero"/>
        <c:auto val="1"/>
        <c:lblAlgn val="ctr"/>
        <c:lblOffset val="100"/>
        <c:noMultiLvlLbl val="0"/>
      </c:catAx>
      <c:valAx>
        <c:axId val="507516975"/>
        <c:scaling>
          <c:orientation val="minMax"/>
          <c:max val="3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58289839"/>
        <c:crosses val="autoZero"/>
        <c:crossBetween val="between"/>
        <c:majorUnit val="2"/>
      </c:valAx>
      <c:valAx>
        <c:axId val="2021457343"/>
        <c:scaling>
          <c:orientation val="minMax"/>
          <c:max val="0.82000000000000006"/>
          <c:min val="0.7600000000000001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21452543"/>
        <c:crosses val="max"/>
        <c:crossBetween val="between"/>
        <c:majorUnit val="2.0000000000000004E-2"/>
      </c:valAx>
      <c:catAx>
        <c:axId val="2021452543"/>
        <c:scaling>
          <c:orientation val="minMax"/>
        </c:scaling>
        <c:delete val="1"/>
        <c:axPos val="b"/>
        <c:majorTickMark val="out"/>
        <c:minorTickMark val="none"/>
        <c:tickLblPos val="nextTo"/>
        <c:crossAx val="2021457343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1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800" b="1">
          <a:solidFill>
            <a:schemeClr val="tx1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EBITDA Bridge: FY17-FY18</cx:v>
        </cx:txData>
      </cx:tx>
      <cx:txPr>
        <a:bodyPr vertOverflow="overflow" horzOverflow="overflow" wrap="square" lIns="0" tIns="0" rIns="0" bIns="0"/>
        <a:lstStyle/>
        <a:p>
          <a:pPr algn="ctr" rtl="0">
            <a:defRPr sz="900" b="1" i="0">
              <a:solidFill>
                <a:sysClr val="windowText" lastClr="000000"/>
              </a:solidFill>
              <a:latin typeface="Arial" panose="020B0604020202020204" pitchFamily="34" charset="0"/>
              <a:ea typeface="Arial" panose="020B0604020202020204" pitchFamily="34" charset="0"/>
              <a:cs typeface="Arial" panose="020B0604020202020204" pitchFamily="34" charset="0"/>
            </a:defRPr>
          </a:pPr>
          <a:r>
            <a:rPr lang="en-IN" sz="1000" b="1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EBITDA Bridge: FY17-FY18</a:t>
          </a:r>
        </a:p>
      </cx:txPr>
    </cx:title>
    <cx:plotArea>
      <cx:plotAreaRegion>
        <cx:series layoutId="waterfall" uniqueId="{9CE31787-D235-43CC-AC75-49673F3CDC5F}">
          <cx:dataPt idx="0">
            <cx:spPr>
              <a:solidFill>
                <a:srgbClr val="4BACC6">
                  <a:lumMod val="50000"/>
                </a:srgbClr>
              </a:solidFill>
            </cx:spPr>
          </cx:dataPt>
          <cx:dataPt idx="1">
            <cx:spPr>
              <a:solidFill>
                <a:srgbClr val="00B050"/>
              </a:solidFill>
            </cx:spPr>
          </cx:dataPt>
          <cx:dataPt idx="2">
            <cx:spPr>
              <a:solidFill>
                <a:srgbClr val="FF0000"/>
              </a:solidFill>
            </cx:spPr>
          </cx:dataPt>
          <cx:dataPt idx="3">
            <cx:spPr>
              <a:solidFill>
                <a:srgbClr val="00B050"/>
              </a:solidFill>
            </cx:spPr>
          </cx:dataPt>
          <cx:dataPt idx="4">
            <cx:spPr>
              <a:solidFill>
                <a:srgbClr val="4BACC6">
                  <a:lumMod val="50000"/>
                </a:srgbClr>
              </a:solidFill>
            </cx:spPr>
          </cx:dataPt>
          <cx:dataLabels pos="outEnd">
            <cx:txPr>
              <a:bodyPr vertOverflow="overflow" horzOverflow="overflow" wrap="square" lIns="0" tIns="0" rIns="0" bIns="0"/>
              <a:lstStyle/>
              <a:p>
                <a:pPr algn="ctr" rtl="0">
                  <a:defRPr sz="900" b="1" i="0">
                    <a:solidFill>
                      <a:sysClr val="windowText" lastClr="000000"/>
                    </a:solidFill>
                    <a:latin typeface="Arial" panose="020B0604020202020204" pitchFamily="34" charset="0"/>
                    <a:ea typeface="Arial" panose="020B0604020202020204" pitchFamily="34" charset="0"/>
                    <a:cs typeface="Arial" panose="020B0604020202020204" pitchFamily="34" charset="0"/>
                  </a:defRPr>
                </a:pPr>
                <a:endParaRPr lang="en-IN" sz="900" b="1">
                  <a:solidFill>
                    <a:sysClr val="windowText" lastClr="000000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x:txPr>
            <cx:visibility seriesName="0" categoryName="0" value="1"/>
          </cx:dataLabels>
          <cx:dataId val="0"/>
          <cx:layoutPr>
            <cx:visibility connectorLines="1"/>
            <cx:subtotals>
              <cx:idx val="4"/>
            </cx:subtotals>
          </cx:layoutPr>
        </cx:series>
      </cx:plotAreaRegion>
      <cx:axis id="0">
        <cx:catScaling gapWidth="0.5"/>
        <cx:tickLabels/>
        <cx:txPr>
          <a:bodyPr vertOverflow="overflow" horzOverflow="overflow" wrap="square" lIns="0" tIns="0" rIns="0" bIns="0"/>
          <a:lstStyle/>
          <a:p>
            <a:pPr algn="ctr" rtl="0">
              <a:defRPr sz="800" b="1" i="0">
                <a:solidFill>
                  <a:sysClr val="windowText" lastClr="000000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IN" sz="8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 min="20"/>
        <cx:title>
          <cx:tx>
            <cx:txData>
              <cx:v>Rupees in Lakhs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1" i="0" u="none" strike="noStrike" baseline="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Rupees in Lakhs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900" b="1" i="0">
                <a:solidFill>
                  <a:sysClr val="windowText" lastClr="000000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IN" sz="9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1</xdr:row>
      <xdr:rowOff>177800</xdr:rowOff>
    </xdr:from>
    <xdr:to>
      <xdr:col>11</xdr:col>
      <xdr:colOff>63500</xdr:colOff>
      <xdr:row>18</xdr:row>
      <xdr:rowOff>82550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AD6D02-3C95-4363-51E4-D041456D1A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358775</xdr:colOff>
      <xdr:row>1</xdr:row>
      <xdr:rowOff>101600</xdr:rowOff>
    </xdr:from>
    <xdr:to>
      <xdr:col>8</xdr:col>
      <xdr:colOff>330200</xdr:colOff>
      <xdr:row>17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48DD24-DA03-B510-53FB-C7C5832E1F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654050</xdr:colOff>
      <xdr:row>8</xdr:row>
      <xdr:rowOff>146050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769995B-5757-A50C-BC1C-DEEEC28726AA}"/>
            </a:ext>
          </a:extLst>
        </xdr:cNvPr>
        <xdr:cNvSpPr txBox="1"/>
      </xdr:nvSpPr>
      <xdr:spPr>
        <a:xfrm>
          <a:off x="5207000" y="1638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IN" sz="1100" kern="1200"/>
        </a:p>
      </xdr:txBody>
    </xdr:sp>
    <xdr:clientData/>
  </xdr:oneCellAnchor>
  <xdr:twoCellAnchor>
    <xdr:from>
      <xdr:col>8</xdr:col>
      <xdr:colOff>361950</xdr:colOff>
      <xdr:row>1</xdr:row>
      <xdr:rowOff>101600</xdr:rowOff>
    </xdr:from>
    <xdr:to>
      <xdr:col>11</xdr:col>
      <xdr:colOff>412750</xdr:colOff>
      <xdr:row>17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C0F6BF8-3FCA-2BF4-3D1D-3A8AAD945F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9</xdr:col>
      <xdr:colOff>133350</xdr:colOff>
      <xdr:row>9</xdr:row>
      <xdr:rowOff>82550</xdr:rowOff>
    </xdr:from>
    <xdr:ext cx="543995" cy="224998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EB95087-F381-F12B-7D24-EF7A75854DBA}"/>
            </a:ext>
          </a:extLst>
        </xdr:cNvPr>
        <xdr:cNvSpPr txBox="1"/>
      </xdr:nvSpPr>
      <xdr:spPr>
        <a:xfrm>
          <a:off x="9055100" y="1758950"/>
          <a:ext cx="543995" cy="2249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IN" sz="900" b="1" kern="1200">
              <a:latin typeface="Arial" panose="020B0604020202020204" pitchFamily="34" charset="0"/>
              <a:cs typeface="Arial" panose="020B0604020202020204" pitchFamily="34" charset="0"/>
            </a:rPr>
            <a:t>260.3L</a:t>
          </a:r>
        </a:p>
      </xdr:txBody>
    </xdr:sp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0.25807</cdr:x>
      <cdr:y>0.51223</cdr:y>
    </cdr:from>
    <cdr:to>
      <cdr:x>0.43976</cdr:x>
      <cdr:y>0.60917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3769995B-5757-A50C-BC1C-DEEEC28726AA}"/>
            </a:ext>
          </a:extLst>
        </cdr:cNvPr>
        <cdr:cNvSpPr txBox="1"/>
      </cdr:nvSpPr>
      <cdr:spPr>
        <a:xfrm xmlns:a="http://schemas.openxmlformats.org/drawingml/2006/main">
          <a:off x="836584" y="1499491"/>
          <a:ext cx="588991" cy="283765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IN" sz="900" b="1" kern="1200">
              <a:latin typeface="Arial" panose="020B0604020202020204" pitchFamily="34" charset="0"/>
              <a:cs typeface="Arial" panose="020B0604020202020204" pitchFamily="34" charset="0"/>
            </a:rPr>
            <a:t>225.2L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365125</xdr:colOff>
      <xdr:row>1</xdr:row>
      <xdr:rowOff>6350</xdr:rowOff>
    </xdr:from>
    <xdr:to>
      <xdr:col>9</xdr:col>
      <xdr:colOff>1079501</xdr:colOff>
      <xdr:row>18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381075B-FDBB-C0D2-1490-EE3ED2F58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82550</xdr:colOff>
      <xdr:row>1</xdr:row>
      <xdr:rowOff>31750</xdr:rowOff>
    </xdr:from>
    <xdr:to>
      <xdr:col>14</xdr:col>
      <xdr:colOff>387350</xdr:colOff>
      <xdr:row>18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45413CA-6681-72AF-D732-365148DB589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00" y="228600"/>
              <a:ext cx="6400800" cy="3136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08984375" defaultRowHeight="14.5" x14ac:dyDescent="0.35"/>
  <cols>
    <col min="1" max="1" width="2" style="1" customWidth="1"/>
    <col min="2" max="16384" width="9.08984375" style="1"/>
  </cols>
  <sheetData>
    <row r="12" spans="2:2" ht="40" x14ac:dyDescent="0.8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D16" sqref="D16"/>
    </sheetView>
  </sheetViews>
  <sheetFormatPr defaultColWidth="9.08984375" defaultRowHeight="11.5" x14ac:dyDescent="0.25"/>
  <cols>
    <col min="1" max="1" width="2" style="2" customWidth="1"/>
    <col min="2" max="2" width="10" style="2" customWidth="1"/>
    <col min="3" max="3" width="26" style="2" customWidth="1"/>
    <col min="4" max="4" width="19.453125" style="2" customWidth="1"/>
    <col min="5" max="16384" width="9.08984375" style="2"/>
  </cols>
  <sheetData>
    <row r="1" spans="2:4" ht="15.5" x14ac:dyDescent="0.35">
      <c r="B1" s="3" t="s">
        <v>104</v>
      </c>
    </row>
    <row r="2" spans="2:4" x14ac:dyDescent="0.25">
      <c r="B2" s="6" t="s">
        <v>57</v>
      </c>
    </row>
    <row r="4" spans="2:4" ht="12" thickBot="1" x14ac:dyDescent="0.3">
      <c r="B4" s="12" t="s">
        <v>58</v>
      </c>
      <c r="C4" s="12" t="s">
        <v>59</v>
      </c>
      <c r="D4" s="12" t="s">
        <v>60</v>
      </c>
    </row>
    <row r="5" spans="2:4" x14ac:dyDescent="0.25">
      <c r="B5" s="7">
        <v>1</v>
      </c>
      <c r="C5" s="14" t="s">
        <v>61</v>
      </c>
    </row>
    <row r="6" spans="2:4" x14ac:dyDescent="0.25">
      <c r="B6" s="10">
        <v>2</v>
      </c>
      <c r="C6" s="11" t="s">
        <v>62</v>
      </c>
      <c r="D6" s="11"/>
    </row>
    <row r="7" spans="2:4" x14ac:dyDescent="0.25">
      <c r="B7" s="7">
        <v>3</v>
      </c>
      <c r="C7" s="20" t="s">
        <v>105</v>
      </c>
    </row>
    <row r="8" spans="2:4" x14ac:dyDescent="0.25">
      <c r="B8" s="7">
        <v>4</v>
      </c>
      <c r="C8" s="20" t="s">
        <v>106</v>
      </c>
    </row>
    <row r="9" spans="2:4" x14ac:dyDescent="0.25">
      <c r="B9" s="7">
        <v>5</v>
      </c>
      <c r="C9" s="20" t="s">
        <v>107</v>
      </c>
    </row>
    <row r="10" spans="2:4" x14ac:dyDescent="0.25">
      <c r="B10" s="10">
        <v>6</v>
      </c>
      <c r="C10" s="11" t="s">
        <v>63</v>
      </c>
      <c r="D10" s="11"/>
    </row>
    <row r="11" spans="2:4" x14ac:dyDescent="0.25">
      <c r="B11" s="7">
        <v>7</v>
      </c>
      <c r="C11" s="14" t="s">
        <v>92</v>
      </c>
    </row>
    <row r="12" spans="2:4" x14ac:dyDescent="0.25">
      <c r="B12" s="7">
        <v>8</v>
      </c>
      <c r="C12" s="14" t="s">
        <v>93</v>
      </c>
    </row>
    <row r="13" spans="2:4" x14ac:dyDescent="0.25">
      <c r="B13" s="8">
        <v>19</v>
      </c>
      <c r="C13" s="11" t="s">
        <v>94</v>
      </c>
      <c r="D13" s="9"/>
    </row>
    <row r="14" spans="2:4" x14ac:dyDescent="0.25">
      <c r="B14" s="7">
        <v>20</v>
      </c>
      <c r="C14" s="14" t="s">
        <v>95</v>
      </c>
    </row>
    <row r="15" spans="2:4" x14ac:dyDescent="0.25">
      <c r="B15" s="7">
        <v>21</v>
      </c>
      <c r="C15" s="14" t="s">
        <v>96</v>
      </c>
    </row>
    <row r="16" spans="2:4" x14ac:dyDescent="0.25">
      <c r="B16" s="7">
        <v>22</v>
      </c>
      <c r="C16" s="14" t="s">
        <v>97</v>
      </c>
    </row>
    <row r="17" spans="2:3" x14ac:dyDescent="0.25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08984375" defaultRowHeight="11.5" x14ac:dyDescent="0.25"/>
  <cols>
    <col min="1" max="1" width="2" style="2" customWidth="1"/>
    <col min="2" max="16384" width="9.08984375" style="2"/>
  </cols>
  <sheetData>
    <row r="1" spans="2:2" ht="15.5" x14ac:dyDescent="0.35">
      <c r="B1" s="3"/>
    </row>
    <row r="12" spans="2:2" ht="39.5" x14ac:dyDescent="0.7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B1:G127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B4" sqref="B4"/>
    </sheetView>
  </sheetViews>
  <sheetFormatPr defaultColWidth="9.08984375" defaultRowHeight="11.5" x14ac:dyDescent="0.25"/>
  <cols>
    <col min="1" max="1" width="2" style="2" customWidth="1"/>
    <col min="2" max="2" width="19.26953125" style="2" customWidth="1"/>
    <col min="3" max="3" width="27.36328125" style="2" customWidth="1"/>
    <col min="4" max="4" width="23.90625" style="2" bestFit="1" customWidth="1"/>
    <col min="5" max="5" width="28.7265625" style="2" customWidth="1"/>
    <col min="6" max="6" width="18.54296875" style="2" customWidth="1"/>
    <col min="7" max="7" width="15.81640625" style="2" customWidth="1"/>
    <col min="8" max="16384" width="9.08984375" style="2"/>
  </cols>
  <sheetData>
    <row r="1" spans="2:7" ht="15.5" x14ac:dyDescent="0.35">
      <c r="B1" s="33" t="s">
        <v>108</v>
      </c>
    </row>
    <row r="3" spans="2:7" ht="12" thickBot="1" x14ac:dyDescent="0.3">
      <c r="B3" s="36" t="s">
        <v>115</v>
      </c>
      <c r="C3" s="36" t="s">
        <v>111</v>
      </c>
      <c r="D3" s="36" t="s">
        <v>31</v>
      </c>
      <c r="E3" s="36" t="s">
        <v>112</v>
      </c>
      <c r="F3" s="36" t="s">
        <v>113</v>
      </c>
      <c r="G3" s="36" t="s">
        <v>114</v>
      </c>
    </row>
    <row r="4" spans="2:7" x14ac:dyDescent="0.25">
      <c r="B4" s="2" t="str">
        <f>G4&amp;D4</f>
        <v>2001110000111111</v>
      </c>
      <c r="C4" s="5" t="s">
        <v>65</v>
      </c>
      <c r="D4" s="5">
        <v>111111</v>
      </c>
      <c r="E4" s="5" t="s">
        <v>99</v>
      </c>
      <c r="F4" s="15">
        <v>-14500341</v>
      </c>
      <c r="G4" s="5">
        <v>2001110000</v>
      </c>
    </row>
    <row r="5" spans="2:7" hidden="1" x14ac:dyDescent="0.25">
      <c r="B5" s="2" t="s">
        <v>116</v>
      </c>
      <c r="C5" s="5"/>
      <c r="D5" s="5"/>
      <c r="E5" s="5"/>
      <c r="F5" s="15"/>
      <c r="G5" s="5"/>
    </row>
    <row r="6" spans="2:7" x14ac:dyDescent="0.25">
      <c r="B6" s="2" t="str">
        <f>G6&amp;D6</f>
        <v>2001190000111111</v>
      </c>
      <c r="C6" s="5" t="s">
        <v>66</v>
      </c>
      <c r="D6" s="5">
        <v>111111</v>
      </c>
      <c r="E6" s="5" t="s">
        <v>99</v>
      </c>
      <c r="F6" s="15">
        <v>-4794856.1919999998</v>
      </c>
      <c r="G6" s="5">
        <v>2001190000</v>
      </c>
    </row>
    <row r="7" spans="2:7" hidden="1" x14ac:dyDescent="0.25">
      <c r="B7" s="2" t="s">
        <v>116</v>
      </c>
      <c r="C7" s="5"/>
      <c r="D7" s="5"/>
      <c r="E7" s="5"/>
      <c r="F7" s="15"/>
      <c r="G7" s="5"/>
    </row>
    <row r="8" spans="2:7" x14ac:dyDescent="0.25">
      <c r="B8" s="2" t="str">
        <f>G8&amp;D8</f>
        <v>20200000001009</v>
      </c>
      <c r="C8" s="5" t="s">
        <v>67</v>
      </c>
      <c r="D8" s="5">
        <v>1009</v>
      </c>
      <c r="E8" s="5" t="s">
        <v>35</v>
      </c>
      <c r="F8" s="15">
        <v>-154890.4</v>
      </c>
      <c r="G8" s="5">
        <v>2020000000</v>
      </c>
    </row>
    <row r="9" spans="2:7" x14ac:dyDescent="0.25">
      <c r="B9" s="2" t="str">
        <f>G9&amp;D9</f>
        <v>20200000001007</v>
      </c>
      <c r="C9" s="5" t="s">
        <v>67</v>
      </c>
      <c r="D9" s="5">
        <v>1007</v>
      </c>
      <c r="E9" s="5" t="s">
        <v>37</v>
      </c>
      <c r="F9" s="15">
        <v>-1180894.0520000001</v>
      </c>
      <c r="G9" s="5">
        <v>2020000000</v>
      </c>
    </row>
    <row r="10" spans="2:7" x14ac:dyDescent="0.25">
      <c r="B10" s="2" t="str">
        <f>G10&amp;D10</f>
        <v>20200000001008</v>
      </c>
      <c r="C10" s="5" t="s">
        <v>67</v>
      </c>
      <c r="D10" s="5">
        <v>1008</v>
      </c>
      <c r="E10" s="5" t="s">
        <v>39</v>
      </c>
      <c r="F10" s="15">
        <v>-793079.51199999999</v>
      </c>
      <c r="G10" s="5">
        <v>2020000000</v>
      </c>
    </row>
    <row r="11" spans="2:7" x14ac:dyDescent="0.25">
      <c r="B11" s="2" t="str">
        <f>G11&amp;D11</f>
        <v>2020000000111101</v>
      </c>
      <c r="C11" s="5" t="s">
        <v>67</v>
      </c>
      <c r="D11" s="5">
        <v>111101</v>
      </c>
      <c r="E11" s="5" t="s">
        <v>1</v>
      </c>
      <c r="F11" s="15">
        <v>-2277197.6</v>
      </c>
      <c r="G11" s="5">
        <v>2020000000</v>
      </c>
    </row>
    <row r="12" spans="2:7" hidden="1" x14ac:dyDescent="0.25">
      <c r="B12" s="2" t="s">
        <v>116</v>
      </c>
      <c r="C12" s="5"/>
      <c r="D12" s="5"/>
      <c r="E12" s="5"/>
      <c r="F12" s="15"/>
      <c r="G12" s="5"/>
    </row>
    <row r="13" spans="2:7" x14ac:dyDescent="0.25">
      <c r="B13" s="2" t="str">
        <f>G13&amp;D13</f>
        <v>2021900000111111</v>
      </c>
      <c r="C13" s="5" t="s">
        <v>100</v>
      </c>
      <c r="D13" s="5">
        <v>111111</v>
      </c>
      <c r="E13" s="5" t="s">
        <v>99</v>
      </c>
      <c r="F13" s="15">
        <v>4428911.7640000004</v>
      </c>
      <c r="G13" s="5">
        <v>2021900000</v>
      </c>
    </row>
    <row r="14" spans="2:7" hidden="1" x14ac:dyDescent="0.25">
      <c r="B14" s="2" t="s">
        <v>116</v>
      </c>
      <c r="C14" s="5"/>
      <c r="D14" s="5"/>
      <c r="E14" s="5"/>
      <c r="F14" s="15"/>
      <c r="G14" s="5"/>
    </row>
    <row r="15" spans="2:7" x14ac:dyDescent="0.25">
      <c r="B15" s="2" t="str">
        <f>G15&amp;D15</f>
        <v>2024080000111111</v>
      </c>
      <c r="C15" s="5" t="s">
        <v>69</v>
      </c>
      <c r="D15" s="5">
        <v>111111</v>
      </c>
      <c r="E15" s="5" t="s">
        <v>99</v>
      </c>
      <c r="F15" s="15">
        <v>16977.628000000001</v>
      </c>
      <c r="G15" s="5">
        <v>2024080000</v>
      </c>
    </row>
    <row r="16" spans="2:7" ht="11.25" hidden="1" customHeight="1" x14ac:dyDescent="0.25">
      <c r="B16" s="2" t="s">
        <v>116</v>
      </c>
      <c r="C16" s="5"/>
      <c r="D16" s="5"/>
      <c r="E16" s="5"/>
      <c r="F16" s="15"/>
      <c r="G16" s="5"/>
    </row>
    <row r="17" spans="2:7" x14ac:dyDescent="0.25">
      <c r="B17" s="2" t="str">
        <f>G17&amp;D17</f>
        <v>202409000088</v>
      </c>
      <c r="C17" s="5" t="s">
        <v>68</v>
      </c>
      <c r="D17" s="5">
        <v>88</v>
      </c>
      <c r="E17" s="5" t="s">
        <v>32</v>
      </c>
      <c r="F17" s="15">
        <v>2245437.54</v>
      </c>
      <c r="G17" s="5">
        <v>2024090000</v>
      </c>
    </row>
    <row r="18" spans="2:7" x14ac:dyDescent="0.25">
      <c r="B18" s="2" t="str">
        <f>G18&amp;D18</f>
        <v>2024090000111111</v>
      </c>
      <c r="C18" s="5" t="s">
        <v>68</v>
      </c>
      <c r="D18" s="5">
        <v>111111</v>
      </c>
      <c r="E18" s="5" t="s">
        <v>99</v>
      </c>
      <c r="F18" s="15">
        <v>16605.634000000002</v>
      </c>
      <c r="G18" s="5">
        <v>2024090000</v>
      </c>
    </row>
    <row r="19" spans="2:7" hidden="1" x14ac:dyDescent="0.25">
      <c r="B19" s="2" t="s">
        <v>116</v>
      </c>
      <c r="C19" s="5"/>
      <c r="D19" s="5"/>
      <c r="E19" s="5"/>
      <c r="F19" s="15"/>
      <c r="G19" s="5"/>
    </row>
    <row r="20" spans="2:7" x14ac:dyDescent="0.25">
      <c r="B20" s="2" t="str">
        <f>G20&amp;D20</f>
        <v>2041000000111111</v>
      </c>
      <c r="C20" s="5" t="s">
        <v>2</v>
      </c>
      <c r="D20" s="5">
        <v>111111</v>
      </c>
      <c r="E20" s="5" t="s">
        <v>99</v>
      </c>
      <c r="F20" s="15">
        <v>4683394.0460000001</v>
      </c>
      <c r="G20" s="5">
        <v>2041000000</v>
      </c>
    </row>
    <row r="21" spans="2:7" hidden="1" x14ac:dyDescent="0.25">
      <c r="B21" s="2" t="s">
        <v>116</v>
      </c>
      <c r="C21" s="5"/>
      <c r="D21" s="5"/>
      <c r="E21" s="5"/>
      <c r="F21" s="15"/>
      <c r="G21" s="5"/>
    </row>
    <row r="22" spans="2:7" x14ac:dyDescent="0.25">
      <c r="B22" s="2" t="str">
        <f>G22&amp;D22</f>
        <v>2042000000111101</v>
      </c>
      <c r="C22" s="5" t="s">
        <v>70</v>
      </c>
      <c r="D22" s="5">
        <v>111101</v>
      </c>
      <c r="E22" s="5" t="s">
        <v>1</v>
      </c>
      <c r="F22" s="15">
        <v>1143051.5760000001</v>
      </c>
      <c r="G22" s="5">
        <v>2042000000</v>
      </c>
    </row>
    <row r="23" spans="2:7" x14ac:dyDescent="0.25">
      <c r="B23" s="2" t="str">
        <f>G23&amp;D23</f>
        <v>204200000088</v>
      </c>
      <c r="C23" s="5" t="s">
        <v>70</v>
      </c>
      <c r="D23" s="5">
        <v>88</v>
      </c>
      <c r="E23" s="5" t="s">
        <v>32</v>
      </c>
      <c r="F23" s="15">
        <v>239379.61800000002</v>
      </c>
      <c r="G23" s="5">
        <v>2042000000</v>
      </c>
    </row>
    <row r="24" spans="2:7" hidden="1" x14ac:dyDescent="0.25">
      <c r="B24" s="2" t="s">
        <v>116</v>
      </c>
      <c r="C24" s="5"/>
      <c r="D24" s="5"/>
      <c r="E24" s="5"/>
      <c r="F24" s="15"/>
      <c r="G24" s="5"/>
    </row>
    <row r="25" spans="2:7" x14ac:dyDescent="0.25">
      <c r="B25" s="2" t="str">
        <f>G25&amp;D25</f>
        <v>2045000000111101</v>
      </c>
      <c r="C25" s="5" t="s">
        <v>71</v>
      </c>
      <c r="D25" s="5">
        <v>111101</v>
      </c>
      <c r="E25" s="5" t="s">
        <v>1</v>
      </c>
      <c r="F25" s="15">
        <v>104913.8</v>
      </c>
      <c r="G25" s="5">
        <v>2045000000</v>
      </c>
    </row>
    <row r="26" spans="2:7" hidden="1" x14ac:dyDescent="0.25">
      <c r="B26" s="2" t="s">
        <v>116</v>
      </c>
      <c r="C26" s="5"/>
      <c r="D26" s="5"/>
      <c r="E26" s="5"/>
      <c r="F26" s="15"/>
      <c r="G26" s="5"/>
    </row>
    <row r="27" spans="2:7" x14ac:dyDescent="0.25">
      <c r="B27" s="2" t="str">
        <f>G27&amp;D27</f>
        <v>2051210000111101</v>
      </c>
      <c r="C27" s="5" t="s">
        <v>72</v>
      </c>
      <c r="D27" s="5">
        <v>111101</v>
      </c>
      <c r="E27" s="5" t="s">
        <v>1</v>
      </c>
      <c r="F27" s="15">
        <v>2003262.2180000001</v>
      </c>
      <c r="G27" s="5">
        <v>2051210000</v>
      </c>
    </row>
    <row r="28" spans="2:7" x14ac:dyDescent="0.25">
      <c r="B28" s="2" t="str">
        <f>G28&amp;D28</f>
        <v>20512100001</v>
      </c>
      <c r="C28" s="5" t="s">
        <v>72</v>
      </c>
      <c r="D28" s="5">
        <v>1</v>
      </c>
      <c r="E28" s="5" t="s">
        <v>1</v>
      </c>
      <c r="F28" s="15">
        <v>41981.296000000002</v>
      </c>
      <c r="G28" s="5">
        <v>2051210000</v>
      </c>
    </row>
    <row r="29" spans="2:7" hidden="1" x14ac:dyDescent="0.25">
      <c r="B29" s="2" t="s">
        <v>116</v>
      </c>
      <c r="C29" s="5"/>
      <c r="D29" s="5"/>
      <c r="E29" s="5"/>
      <c r="F29" s="15"/>
      <c r="G29" s="5"/>
    </row>
    <row r="30" spans="2:7" x14ac:dyDescent="0.25">
      <c r="B30" s="2" t="str">
        <f>G30&amp;D30</f>
        <v>20690100001</v>
      </c>
      <c r="C30" s="5" t="s">
        <v>73</v>
      </c>
      <c r="D30" s="22">
        <v>1</v>
      </c>
      <c r="E30" s="5" t="s">
        <v>40</v>
      </c>
      <c r="F30" s="15">
        <v>-2156147.4</v>
      </c>
      <c r="G30" s="5">
        <v>2069010000</v>
      </c>
    </row>
    <row r="31" spans="2:7" x14ac:dyDescent="0.25">
      <c r="B31" s="2" t="str">
        <f>G31&amp;D31</f>
        <v>206901000014</v>
      </c>
      <c r="C31" s="5" t="s">
        <v>73</v>
      </c>
      <c r="D31" s="5">
        <v>14</v>
      </c>
      <c r="E31" s="5" t="s">
        <v>41</v>
      </c>
      <c r="F31" s="15">
        <v>-291428.55199999997</v>
      </c>
      <c r="G31" s="5">
        <v>2069010000</v>
      </c>
    </row>
    <row r="32" spans="2:7" x14ac:dyDescent="0.25">
      <c r="B32" s="2" t="str">
        <f>G32&amp;D32</f>
        <v>20690100001037</v>
      </c>
      <c r="C32" s="5" t="s">
        <v>73</v>
      </c>
      <c r="D32" s="5">
        <v>1037</v>
      </c>
      <c r="E32" s="5" t="s">
        <v>46</v>
      </c>
      <c r="F32" s="15">
        <v>0</v>
      </c>
      <c r="G32" s="5">
        <v>2069010000</v>
      </c>
    </row>
    <row r="33" spans="2:7" x14ac:dyDescent="0.25">
      <c r="B33" s="2" t="str">
        <f>G33&amp;D33</f>
        <v>20690100001087</v>
      </c>
      <c r="C33" s="5" t="s">
        <v>73</v>
      </c>
      <c r="D33" s="22">
        <v>1087</v>
      </c>
      <c r="E33" s="5" t="s">
        <v>45</v>
      </c>
      <c r="F33" s="15">
        <v>-33736.5</v>
      </c>
      <c r="G33" s="5">
        <v>2069010000</v>
      </c>
    </row>
    <row r="34" spans="2:7" x14ac:dyDescent="0.25">
      <c r="B34" s="2" t="str">
        <f>G34&amp;D34</f>
        <v>20690100001009</v>
      </c>
      <c r="C34" s="5" t="s">
        <v>73</v>
      </c>
      <c r="D34" s="5">
        <v>1009</v>
      </c>
      <c r="E34" s="5" t="s">
        <v>35</v>
      </c>
      <c r="F34" s="15">
        <v>0</v>
      </c>
      <c r="G34" s="5">
        <v>2069010000</v>
      </c>
    </row>
    <row r="35" spans="2:7" x14ac:dyDescent="0.25">
      <c r="B35" s="2" t="str">
        <f>G35&amp;D35</f>
        <v>20690100001007</v>
      </c>
      <c r="C35" s="5" t="s">
        <v>73</v>
      </c>
      <c r="D35" s="5">
        <v>1007</v>
      </c>
      <c r="E35" s="5" t="s">
        <v>37</v>
      </c>
      <c r="F35" s="15">
        <v>0</v>
      </c>
      <c r="G35" s="5">
        <v>2069010000</v>
      </c>
    </row>
    <row r="36" spans="2:7" x14ac:dyDescent="0.25">
      <c r="B36" s="2" t="str">
        <f>G36&amp;D36</f>
        <v>20690100001008</v>
      </c>
      <c r="C36" s="5" t="s">
        <v>73</v>
      </c>
      <c r="D36" s="5">
        <v>1008</v>
      </c>
      <c r="E36" s="5" t="s">
        <v>39</v>
      </c>
      <c r="F36" s="15">
        <v>0</v>
      </c>
      <c r="G36" s="5">
        <v>2069010000</v>
      </c>
    </row>
    <row r="37" spans="2:7" x14ac:dyDescent="0.25">
      <c r="B37" s="2" t="str">
        <f>G37&amp;D37</f>
        <v>20690100001240</v>
      </c>
      <c r="C37" s="5" t="s">
        <v>73</v>
      </c>
      <c r="D37" s="5">
        <v>1240</v>
      </c>
      <c r="E37" s="5" t="s">
        <v>44</v>
      </c>
      <c r="F37" s="15">
        <v>-199600.4</v>
      </c>
      <c r="G37" s="5">
        <v>2069010000</v>
      </c>
    </row>
    <row r="38" spans="2:7" x14ac:dyDescent="0.25">
      <c r="B38" s="2" t="str">
        <f>G38&amp;D38</f>
        <v>2069010000111111</v>
      </c>
      <c r="C38" s="5" t="s">
        <v>73</v>
      </c>
      <c r="D38" s="5">
        <v>111111</v>
      </c>
      <c r="E38" s="5" t="s">
        <v>99</v>
      </c>
      <c r="F38" s="15">
        <v>-539141.4</v>
      </c>
      <c r="G38" s="5">
        <v>2069010000</v>
      </c>
    </row>
    <row r="39" spans="2:7" hidden="1" x14ac:dyDescent="0.25">
      <c r="B39" s="2" t="s">
        <v>116</v>
      </c>
      <c r="C39" s="5"/>
      <c r="D39" s="5"/>
      <c r="E39" s="5"/>
      <c r="F39" s="15"/>
      <c r="G39" s="5"/>
    </row>
    <row r="40" spans="2:7" x14ac:dyDescent="0.25">
      <c r="B40" s="2" t="str">
        <f>G40&amp;D40</f>
        <v>2069980000111111</v>
      </c>
      <c r="C40" s="5" t="s">
        <v>74</v>
      </c>
      <c r="D40" s="5">
        <v>111111</v>
      </c>
      <c r="E40" s="5" t="s">
        <v>99</v>
      </c>
      <c r="F40" s="15">
        <v>-57.221999999999994</v>
      </c>
      <c r="G40" s="5">
        <v>2069980000</v>
      </c>
    </row>
    <row r="41" spans="2:7" hidden="1" x14ac:dyDescent="0.25">
      <c r="B41" s="2" t="s">
        <v>116</v>
      </c>
      <c r="C41" s="5"/>
      <c r="D41" s="5"/>
      <c r="E41" s="5"/>
      <c r="F41" s="15"/>
      <c r="G41" s="5"/>
    </row>
    <row r="42" spans="2:7" x14ac:dyDescent="0.25">
      <c r="B42" s="2" t="str">
        <f>G42&amp;D42</f>
        <v>2070400000111111</v>
      </c>
      <c r="C42" s="5" t="s">
        <v>75</v>
      </c>
      <c r="D42" s="5">
        <v>111111</v>
      </c>
      <c r="E42" s="5" t="s">
        <v>99</v>
      </c>
      <c r="F42" s="15">
        <v>22314.879999999997</v>
      </c>
      <c r="G42" s="5">
        <v>2070400000</v>
      </c>
    </row>
    <row r="43" spans="2:7" hidden="1" x14ac:dyDescent="0.25">
      <c r="B43" s="2" t="s">
        <v>116</v>
      </c>
      <c r="C43" s="5"/>
      <c r="D43" s="5"/>
      <c r="E43" s="5"/>
      <c r="F43" s="15"/>
      <c r="G43" s="5"/>
    </row>
    <row r="44" spans="2:7" x14ac:dyDescent="0.25">
      <c r="B44" s="2" t="str">
        <f>G44&amp;D44</f>
        <v>207050000088</v>
      </c>
      <c r="C44" s="5" t="s">
        <v>76</v>
      </c>
      <c r="D44" s="5">
        <v>88</v>
      </c>
      <c r="E44" s="5" t="s">
        <v>32</v>
      </c>
      <c r="F44" s="15">
        <v>204000</v>
      </c>
      <c r="G44" s="5">
        <v>2070500000</v>
      </c>
    </row>
    <row r="45" spans="2:7" x14ac:dyDescent="0.25">
      <c r="B45" s="2" t="str">
        <f>G45&amp;D45</f>
        <v>2070500000111111</v>
      </c>
      <c r="C45" s="5" t="s">
        <v>76</v>
      </c>
      <c r="D45" s="5">
        <v>111111</v>
      </c>
      <c r="E45" s="5" t="s">
        <v>99</v>
      </c>
      <c r="F45" s="15">
        <v>138.41399999999999</v>
      </c>
      <c r="G45" s="5">
        <v>2070500000</v>
      </c>
    </row>
    <row r="46" spans="2:7" hidden="1" x14ac:dyDescent="0.25">
      <c r="B46" s="2" t="s">
        <v>116</v>
      </c>
      <c r="C46" s="5"/>
      <c r="D46" s="5"/>
      <c r="E46" s="5"/>
      <c r="F46" s="15"/>
      <c r="G46" s="5"/>
    </row>
    <row r="47" spans="2:7" x14ac:dyDescent="0.25">
      <c r="B47" s="2" t="str">
        <f>G47&amp;D47</f>
        <v>2070600000111111</v>
      </c>
      <c r="C47" s="5" t="s">
        <v>77</v>
      </c>
      <c r="D47" s="5">
        <v>111111</v>
      </c>
      <c r="E47" s="5" t="s">
        <v>99</v>
      </c>
      <c r="F47" s="15">
        <v>1127445.872</v>
      </c>
      <c r="G47" s="5">
        <v>2070600000</v>
      </c>
    </row>
    <row r="48" spans="2:7" hidden="1" x14ac:dyDescent="0.25">
      <c r="B48" s="2" t="s">
        <v>116</v>
      </c>
      <c r="C48" s="5"/>
      <c r="D48" s="5"/>
      <c r="E48" s="5"/>
      <c r="F48" s="15"/>
      <c r="G48" s="5"/>
    </row>
    <row r="49" spans="2:7" x14ac:dyDescent="0.25">
      <c r="B49" s="2" t="str">
        <f>G49&amp;D49</f>
        <v>207090000043</v>
      </c>
      <c r="C49" s="5" t="s">
        <v>78</v>
      </c>
      <c r="D49" s="22">
        <v>43</v>
      </c>
      <c r="E49" s="5" t="s">
        <v>42</v>
      </c>
      <c r="F49" s="15">
        <v>133722</v>
      </c>
      <c r="G49" s="5">
        <v>2070900000</v>
      </c>
    </row>
    <row r="50" spans="2:7" x14ac:dyDescent="0.25">
      <c r="B50" s="2" t="str">
        <f>G50&amp;D50</f>
        <v>20709000002240</v>
      </c>
      <c r="C50" s="5" t="s">
        <v>78</v>
      </c>
      <c r="D50" s="22">
        <v>2240</v>
      </c>
      <c r="E50" s="5" t="s">
        <v>43</v>
      </c>
      <c r="F50" s="15">
        <v>328061.886</v>
      </c>
      <c r="G50" s="5">
        <v>2070900000</v>
      </c>
    </row>
    <row r="51" spans="2:7" x14ac:dyDescent="0.25">
      <c r="B51" s="2" t="str">
        <f>G51&amp;D51</f>
        <v>2070900000111111</v>
      </c>
      <c r="C51" s="5" t="s">
        <v>78</v>
      </c>
      <c r="D51" s="5">
        <v>111111</v>
      </c>
      <c r="E51" s="5" t="s">
        <v>99</v>
      </c>
      <c r="F51" s="15">
        <v>2081304.3219999997</v>
      </c>
      <c r="G51" s="5">
        <v>2070900000</v>
      </c>
    </row>
    <row r="52" spans="2:7" hidden="1" x14ac:dyDescent="0.25">
      <c r="B52" s="2" t="s">
        <v>116</v>
      </c>
      <c r="C52" s="5"/>
      <c r="D52" s="5"/>
      <c r="E52" s="5"/>
      <c r="F52" s="15"/>
      <c r="G52" s="5"/>
    </row>
    <row r="53" spans="2:7" x14ac:dyDescent="0.25">
      <c r="B53" s="2" t="str">
        <f>G53&amp;D53</f>
        <v>2071000000111111</v>
      </c>
      <c r="C53" s="5" t="s">
        <v>7</v>
      </c>
      <c r="D53" s="5">
        <v>111111</v>
      </c>
      <c r="E53" s="5" t="s">
        <v>99</v>
      </c>
      <c r="F53" s="15">
        <v>33410.031999999999</v>
      </c>
      <c r="G53" s="5">
        <v>2071000000</v>
      </c>
    </row>
    <row r="54" spans="2:7" hidden="1" x14ac:dyDescent="0.25">
      <c r="B54" s="2" t="s">
        <v>116</v>
      </c>
      <c r="C54" s="5"/>
      <c r="D54" s="5"/>
      <c r="E54" s="5"/>
      <c r="F54" s="15"/>
      <c r="G54" s="5"/>
    </row>
    <row r="55" spans="2:7" x14ac:dyDescent="0.25">
      <c r="B55" s="2" t="str">
        <f>G55&amp;D55</f>
        <v>2071100000111111</v>
      </c>
      <c r="C55" s="5" t="s">
        <v>79</v>
      </c>
      <c r="D55" s="5">
        <v>111111</v>
      </c>
      <c r="E55" s="5" t="s">
        <v>99</v>
      </c>
      <c r="F55" s="15">
        <v>213090.85199999998</v>
      </c>
      <c r="G55" s="5">
        <v>2071100000</v>
      </c>
    </row>
    <row r="56" spans="2:7" hidden="1" x14ac:dyDescent="0.25">
      <c r="B56" s="2" t="s">
        <v>116</v>
      </c>
      <c r="C56" s="5"/>
      <c r="D56" s="5"/>
      <c r="E56" s="5"/>
      <c r="F56" s="15"/>
      <c r="G56" s="5"/>
    </row>
    <row r="57" spans="2:7" x14ac:dyDescent="0.25">
      <c r="B57" s="2" t="str">
        <f>G57&amp;D57</f>
        <v>2071209200111111</v>
      </c>
      <c r="C57" s="5" t="s">
        <v>8</v>
      </c>
      <c r="D57" s="5">
        <v>111111</v>
      </c>
      <c r="E57" s="5" t="s">
        <v>99</v>
      </c>
      <c r="F57" s="15">
        <v>1813525.004</v>
      </c>
      <c r="G57" s="5">
        <v>2071209200</v>
      </c>
    </row>
    <row r="58" spans="2:7" hidden="1" x14ac:dyDescent="0.25">
      <c r="B58" s="2" t="s">
        <v>116</v>
      </c>
      <c r="C58" s="5"/>
      <c r="D58" s="5"/>
      <c r="E58" s="5"/>
      <c r="F58" s="15"/>
      <c r="G58" s="5"/>
    </row>
    <row r="59" spans="2:7" x14ac:dyDescent="0.25">
      <c r="B59" s="2" t="str">
        <f>G59&amp;D59</f>
        <v>2071209400111111</v>
      </c>
      <c r="C59" s="5" t="s">
        <v>80</v>
      </c>
      <c r="D59" s="5">
        <v>111111</v>
      </c>
      <c r="E59" s="5" t="s">
        <v>99</v>
      </c>
      <c r="F59" s="15">
        <v>5552.2</v>
      </c>
      <c r="G59" s="5">
        <v>2071209400</v>
      </c>
    </row>
    <row r="60" spans="2:7" hidden="1" x14ac:dyDescent="0.25">
      <c r="B60" s="2" t="s">
        <v>116</v>
      </c>
      <c r="C60" s="5"/>
      <c r="D60" s="5"/>
      <c r="E60" s="5"/>
      <c r="F60" s="15"/>
      <c r="G60" s="5"/>
    </row>
    <row r="61" spans="2:7" x14ac:dyDescent="0.25">
      <c r="B61" s="2" t="str">
        <f>G61&amp;D61</f>
        <v>2071209500111111</v>
      </c>
      <c r="C61" s="5" t="s">
        <v>81</v>
      </c>
      <c r="D61" s="5">
        <v>111111</v>
      </c>
      <c r="E61" s="5" t="s">
        <v>99</v>
      </c>
      <c r="F61" s="15">
        <v>43868.975999999995</v>
      </c>
      <c r="G61" s="5">
        <v>2071209500</v>
      </c>
    </row>
    <row r="62" spans="2:7" hidden="1" x14ac:dyDescent="0.25">
      <c r="B62" s="2" t="s">
        <v>116</v>
      </c>
      <c r="C62" s="5"/>
      <c r="D62" s="5"/>
      <c r="E62" s="5"/>
      <c r="F62" s="15"/>
      <c r="G62" s="5"/>
    </row>
    <row r="63" spans="2:7" x14ac:dyDescent="0.25">
      <c r="B63" s="2" t="str">
        <f>G63&amp;D63</f>
        <v>2071980000111101</v>
      </c>
      <c r="C63" s="5" t="s">
        <v>82</v>
      </c>
      <c r="D63" s="5">
        <v>111101</v>
      </c>
      <c r="E63" s="5" t="s">
        <v>1</v>
      </c>
      <c r="F63" s="15">
        <v>10934.671999999999</v>
      </c>
      <c r="G63" s="5">
        <v>2071980000</v>
      </c>
    </row>
    <row r="64" spans="2:7" hidden="1" x14ac:dyDescent="0.25">
      <c r="B64" s="2" t="s">
        <v>116</v>
      </c>
      <c r="C64" s="5"/>
      <c r="D64" s="5"/>
      <c r="E64" s="5"/>
      <c r="F64" s="15"/>
      <c r="G64" s="5"/>
    </row>
    <row r="65" spans="2:7" x14ac:dyDescent="0.25">
      <c r="B65" s="2" t="str">
        <f>G65&amp;D65</f>
        <v>2079022000111111</v>
      </c>
      <c r="C65" s="5" t="s">
        <v>83</v>
      </c>
      <c r="D65" s="5">
        <v>111111</v>
      </c>
      <c r="E65" s="5" t="s">
        <v>99</v>
      </c>
      <c r="F65" s="15">
        <v>20400</v>
      </c>
      <c r="G65" s="5">
        <v>2079022000</v>
      </c>
    </row>
    <row r="66" spans="2:7" hidden="1" x14ac:dyDescent="0.25">
      <c r="B66" s="2" t="s">
        <v>116</v>
      </c>
      <c r="C66" s="5"/>
      <c r="D66" s="5"/>
      <c r="E66" s="5"/>
      <c r="F66" s="15"/>
      <c r="G66" s="5"/>
    </row>
    <row r="67" spans="2:7" x14ac:dyDescent="0.25">
      <c r="B67" s="2" t="str">
        <f>G67&amp;D67</f>
        <v>2079070000105</v>
      </c>
      <c r="C67" s="5" t="s">
        <v>84</v>
      </c>
      <c r="D67" s="5">
        <v>105</v>
      </c>
      <c r="E67" s="5" t="s">
        <v>33</v>
      </c>
      <c r="F67" s="15">
        <v>0</v>
      </c>
      <c r="G67" s="5">
        <v>2079070000</v>
      </c>
    </row>
    <row r="68" spans="2:7" x14ac:dyDescent="0.25">
      <c r="B68" s="2" t="str">
        <f>G68&amp;D68</f>
        <v>2079070000111111</v>
      </c>
      <c r="C68" s="5" t="s">
        <v>84</v>
      </c>
      <c r="D68" s="5">
        <v>111111</v>
      </c>
      <c r="E68" s="5" t="s">
        <v>99</v>
      </c>
      <c r="F68" s="15">
        <v>563918.152</v>
      </c>
      <c r="G68" s="5">
        <v>2079070000</v>
      </c>
    </row>
    <row r="69" spans="2:7" hidden="1" x14ac:dyDescent="0.25">
      <c r="B69" s="2" t="s">
        <v>116</v>
      </c>
      <c r="C69" s="5"/>
      <c r="D69" s="5"/>
      <c r="E69" s="5"/>
      <c r="F69" s="15"/>
      <c r="G69" s="5"/>
    </row>
    <row r="70" spans="2:7" x14ac:dyDescent="0.25">
      <c r="B70" s="2" t="str">
        <f>G70&amp;D70</f>
        <v>20790800001009</v>
      </c>
      <c r="C70" s="5" t="s">
        <v>85</v>
      </c>
      <c r="D70" s="5">
        <v>1009</v>
      </c>
      <c r="E70" s="5" t="s">
        <v>35</v>
      </c>
      <c r="F70" s="15">
        <v>0</v>
      </c>
      <c r="G70" s="5">
        <v>2079080000</v>
      </c>
    </row>
    <row r="71" spans="2:7" x14ac:dyDescent="0.25">
      <c r="B71" s="2" t="str">
        <f>G71&amp;D71</f>
        <v>20790800001007</v>
      </c>
      <c r="C71" s="5" t="s">
        <v>85</v>
      </c>
      <c r="D71" s="5">
        <v>1007</v>
      </c>
      <c r="E71" s="5" t="s">
        <v>37</v>
      </c>
      <c r="F71" s="15">
        <v>0</v>
      </c>
      <c r="G71" s="5">
        <v>2079080000</v>
      </c>
    </row>
    <row r="72" spans="2:7" x14ac:dyDescent="0.25">
      <c r="B72" s="2" t="str">
        <f>G72&amp;D72</f>
        <v>20790800001008</v>
      </c>
      <c r="C72" s="5" t="s">
        <v>85</v>
      </c>
      <c r="D72" s="5">
        <v>1008</v>
      </c>
      <c r="E72" s="5" t="s">
        <v>39</v>
      </c>
      <c r="F72" s="15">
        <v>0</v>
      </c>
      <c r="G72" s="5">
        <v>2079080000</v>
      </c>
    </row>
    <row r="73" spans="2:7" hidden="1" x14ac:dyDescent="0.25">
      <c r="B73" s="2" t="s">
        <v>116</v>
      </c>
      <c r="C73" s="5"/>
      <c r="D73" s="5"/>
      <c r="E73" s="5"/>
      <c r="F73" s="15"/>
      <c r="G73" s="5"/>
    </row>
    <row r="74" spans="2:7" x14ac:dyDescent="0.25">
      <c r="B74" s="2" t="str">
        <f>G74&amp;D74</f>
        <v>20822800001009</v>
      </c>
      <c r="C74" s="5" t="s">
        <v>86</v>
      </c>
      <c r="D74" s="5">
        <v>1009</v>
      </c>
      <c r="E74" s="5" t="s">
        <v>35</v>
      </c>
      <c r="F74" s="15">
        <v>0</v>
      </c>
      <c r="G74" s="5">
        <v>2082280000</v>
      </c>
    </row>
    <row r="75" spans="2:7" x14ac:dyDescent="0.25">
      <c r="B75" s="2" t="str">
        <f>G75&amp;D75</f>
        <v>20822800001007</v>
      </c>
      <c r="C75" s="5" t="s">
        <v>86</v>
      </c>
      <c r="D75" s="5">
        <v>1007</v>
      </c>
      <c r="E75" s="5" t="s">
        <v>37</v>
      </c>
      <c r="F75" s="15">
        <v>0</v>
      </c>
      <c r="G75" s="5">
        <v>2082280000</v>
      </c>
    </row>
    <row r="76" spans="2:7" x14ac:dyDescent="0.25">
      <c r="B76" s="2" t="str">
        <f>G76&amp;D76</f>
        <v>20822800001008</v>
      </c>
      <c r="C76" s="5" t="s">
        <v>86</v>
      </c>
      <c r="D76" s="5">
        <v>1008</v>
      </c>
      <c r="E76" s="5" t="s">
        <v>39</v>
      </c>
      <c r="F76" s="15">
        <v>0</v>
      </c>
      <c r="G76" s="5">
        <v>2082280000</v>
      </c>
    </row>
    <row r="77" spans="2:7" x14ac:dyDescent="0.25">
      <c r="B77" s="2" t="str">
        <f>G77&amp;D77</f>
        <v>20822800001240</v>
      </c>
      <c r="C77" s="5" t="s">
        <v>86</v>
      </c>
      <c r="D77" s="5">
        <v>1240</v>
      </c>
      <c r="E77" s="5" t="s">
        <v>44</v>
      </c>
      <c r="F77" s="15">
        <v>-35810.228000000003</v>
      </c>
      <c r="G77" s="5">
        <v>2082280000</v>
      </c>
    </row>
    <row r="78" spans="2:7" x14ac:dyDescent="0.25">
      <c r="B78" s="2" t="str">
        <f>G78&amp;D78</f>
        <v>2082280000111111</v>
      </c>
      <c r="C78" s="5" t="s">
        <v>86</v>
      </c>
      <c r="D78" s="5">
        <v>111111</v>
      </c>
      <c r="E78" s="5" t="s">
        <v>99</v>
      </c>
      <c r="F78" s="15">
        <v>-51927.417999999998</v>
      </c>
      <c r="G78" s="5">
        <v>2082280000</v>
      </c>
    </row>
    <row r="79" spans="2:7" hidden="1" x14ac:dyDescent="0.25">
      <c r="B79" s="2" t="s">
        <v>116</v>
      </c>
      <c r="C79" s="5"/>
      <c r="D79" s="5"/>
      <c r="E79" s="5"/>
      <c r="F79" s="15"/>
      <c r="G79" s="5"/>
    </row>
    <row r="80" spans="2:7" x14ac:dyDescent="0.25">
      <c r="B80" s="2" t="str">
        <f>G80&amp;D80</f>
        <v>2082202000111101</v>
      </c>
      <c r="C80" s="5" t="s">
        <v>9</v>
      </c>
      <c r="D80" s="5">
        <v>111101</v>
      </c>
      <c r="E80" s="5" t="s">
        <v>1</v>
      </c>
      <c r="F80" s="15">
        <v>-862270.63399999996</v>
      </c>
      <c r="G80" s="5">
        <v>2082202000</v>
      </c>
    </row>
    <row r="81" spans="2:7" hidden="1" x14ac:dyDescent="0.25">
      <c r="B81" s="2" t="s">
        <v>116</v>
      </c>
      <c r="C81" s="5"/>
      <c r="D81" s="5"/>
      <c r="E81" s="5"/>
      <c r="F81" s="15"/>
      <c r="G81" s="5"/>
    </row>
    <row r="82" spans="2:7" x14ac:dyDescent="0.25">
      <c r="B82" s="2" t="str">
        <f>G82&amp;D82</f>
        <v>2082208200111101</v>
      </c>
      <c r="C82" s="5" t="s">
        <v>87</v>
      </c>
      <c r="D82" s="5">
        <v>111101</v>
      </c>
      <c r="E82" s="5" t="s">
        <v>1</v>
      </c>
      <c r="F82" s="15">
        <v>22763</v>
      </c>
      <c r="G82" s="5">
        <v>2082208200</v>
      </c>
    </row>
    <row r="83" spans="2:7" hidden="1" x14ac:dyDescent="0.25">
      <c r="B83" s="2" t="s">
        <v>116</v>
      </c>
      <c r="C83" s="5"/>
      <c r="D83" s="5"/>
      <c r="E83" s="5"/>
      <c r="F83" s="15"/>
      <c r="G83" s="5"/>
    </row>
    <row r="84" spans="2:7" x14ac:dyDescent="0.25">
      <c r="B84" s="2" t="str">
        <f>G84&amp;D84</f>
        <v>208221400088</v>
      </c>
      <c r="C84" s="5" t="s">
        <v>88</v>
      </c>
      <c r="D84" s="5">
        <v>88</v>
      </c>
      <c r="E84" s="5" t="s">
        <v>32</v>
      </c>
      <c r="F84" s="15">
        <v>2930430.0120000001</v>
      </c>
      <c r="G84" s="5">
        <v>2082214000</v>
      </c>
    </row>
    <row r="85" spans="2:7" hidden="1" x14ac:dyDescent="0.25">
      <c r="B85" s="2" t="s">
        <v>116</v>
      </c>
      <c r="C85" s="5"/>
      <c r="D85" s="5"/>
      <c r="E85" s="5"/>
      <c r="F85" s="15"/>
      <c r="G85" s="5"/>
    </row>
    <row r="86" spans="2:7" x14ac:dyDescent="0.25">
      <c r="B86" s="2" t="str">
        <f>G86&amp;D86</f>
        <v>2091200000111101</v>
      </c>
      <c r="C86" s="5" t="s">
        <v>89</v>
      </c>
      <c r="D86" s="5">
        <v>111101</v>
      </c>
      <c r="E86" s="5" t="s">
        <v>1</v>
      </c>
      <c r="F86" s="15">
        <v>-49378.641999999993</v>
      </c>
      <c r="G86" s="5">
        <v>2091200000</v>
      </c>
    </row>
    <row r="87" spans="2:7" hidden="1" x14ac:dyDescent="0.25">
      <c r="B87" s="2" t="s">
        <v>116</v>
      </c>
      <c r="C87" s="5"/>
      <c r="D87" s="5"/>
      <c r="E87" s="5"/>
      <c r="F87" s="15"/>
      <c r="G87" s="5"/>
    </row>
    <row r="88" spans="2:7" x14ac:dyDescent="0.25">
      <c r="B88" s="2" t="str">
        <f>G88&amp;D88</f>
        <v>2091200001111101</v>
      </c>
      <c r="C88" s="5" t="s">
        <v>90</v>
      </c>
      <c r="D88" s="5">
        <v>111101</v>
      </c>
      <c r="E88" s="5" t="s">
        <v>1</v>
      </c>
      <c r="F88" s="15">
        <v>516250.67</v>
      </c>
      <c r="G88" s="5">
        <v>2091200001</v>
      </c>
    </row>
    <row r="89" spans="2:7" hidden="1" x14ac:dyDescent="0.25">
      <c r="B89" s="2" t="s">
        <v>116</v>
      </c>
      <c r="C89" s="5"/>
      <c r="D89" s="5"/>
      <c r="E89" s="5"/>
      <c r="F89" s="15"/>
      <c r="G89" s="5"/>
    </row>
    <row r="90" spans="2:7" x14ac:dyDescent="0.25">
      <c r="B90" s="2" t="str">
        <f>G90&amp;D90</f>
        <v>2092200000111101</v>
      </c>
      <c r="C90" s="5" t="s">
        <v>91</v>
      </c>
      <c r="D90" s="5">
        <v>111101</v>
      </c>
      <c r="E90" s="5" t="s">
        <v>1</v>
      </c>
      <c r="F90" s="15">
        <v>21593.093999999997</v>
      </c>
      <c r="G90" s="5">
        <v>2092200000</v>
      </c>
    </row>
    <row r="91" spans="2:7" hidden="1" x14ac:dyDescent="0.25">
      <c r="B91" s="2" t="s">
        <v>116</v>
      </c>
      <c r="C91" s="5"/>
      <c r="D91" s="5"/>
      <c r="E91" s="5"/>
      <c r="F91" s="15"/>
      <c r="G91" s="5"/>
    </row>
    <row r="92" spans="2:7" x14ac:dyDescent="0.25">
      <c r="B92" s="16" t="str">
        <f>G92&amp;D92</f>
        <v>2999999999111101</v>
      </c>
      <c r="C92" s="16" t="s">
        <v>64</v>
      </c>
      <c r="D92" s="16">
        <v>111101</v>
      </c>
      <c r="E92" s="16" t="s">
        <v>1</v>
      </c>
      <c r="F92" s="17">
        <v>-2904117.9939999986</v>
      </c>
      <c r="G92" s="16">
        <v>2999999999</v>
      </c>
    </row>
    <row r="93" spans="2:7" x14ac:dyDescent="0.25">
      <c r="D93" s="5"/>
    </row>
    <row r="94" spans="2:7" x14ac:dyDescent="0.25">
      <c r="D94" s="5"/>
    </row>
    <row r="95" spans="2:7" x14ac:dyDescent="0.25">
      <c r="D95" s="5"/>
    </row>
    <row r="96" spans="2:7" x14ac:dyDescent="0.25">
      <c r="D96" s="5"/>
    </row>
    <row r="97" spans="4:4" x14ac:dyDescent="0.25">
      <c r="D97" s="5"/>
    </row>
    <row r="98" spans="4:4" x14ac:dyDescent="0.25">
      <c r="D98" s="5"/>
    </row>
    <row r="99" spans="4:4" x14ac:dyDescent="0.25">
      <c r="D99" s="5"/>
    </row>
    <row r="100" spans="4:4" x14ac:dyDescent="0.25">
      <c r="D100" s="5"/>
    </row>
    <row r="101" spans="4:4" x14ac:dyDescent="0.25">
      <c r="D101" s="5"/>
    </row>
    <row r="102" spans="4:4" x14ac:dyDescent="0.25">
      <c r="D102" s="5"/>
    </row>
    <row r="103" spans="4:4" x14ac:dyDescent="0.25">
      <c r="D103" s="5"/>
    </row>
    <row r="104" spans="4:4" x14ac:dyDescent="0.25">
      <c r="D104" s="5"/>
    </row>
    <row r="105" spans="4:4" x14ac:dyDescent="0.25">
      <c r="D105" s="5"/>
    </row>
    <row r="106" spans="4:4" x14ac:dyDescent="0.25">
      <c r="D106" s="5"/>
    </row>
    <row r="107" spans="4:4" x14ac:dyDescent="0.25">
      <c r="D107" s="5"/>
    </row>
    <row r="108" spans="4:4" x14ac:dyDescent="0.25">
      <c r="D108" s="5"/>
    </row>
    <row r="109" spans="4:4" x14ac:dyDescent="0.25">
      <c r="D109" s="5"/>
    </row>
    <row r="110" spans="4:4" x14ac:dyDescent="0.25">
      <c r="D110" s="5"/>
    </row>
    <row r="111" spans="4:4" x14ac:dyDescent="0.25">
      <c r="D111" s="5"/>
    </row>
    <row r="112" spans="4:4" x14ac:dyDescent="0.25">
      <c r="D112" s="5"/>
    </row>
    <row r="113" spans="4:4" x14ac:dyDescent="0.25">
      <c r="D113" s="5"/>
    </row>
    <row r="114" spans="4:4" x14ac:dyDescent="0.25">
      <c r="D114" s="5"/>
    </row>
    <row r="115" spans="4:4" x14ac:dyDescent="0.25">
      <c r="D115" s="5"/>
    </row>
    <row r="116" spans="4:4" x14ac:dyDescent="0.25">
      <c r="D116" s="5"/>
    </row>
    <row r="117" spans="4:4" x14ac:dyDescent="0.25">
      <c r="D117" s="5"/>
    </row>
    <row r="118" spans="4:4" x14ac:dyDescent="0.25">
      <c r="D118" s="5"/>
    </row>
    <row r="119" spans="4:4" x14ac:dyDescent="0.25">
      <c r="D119" s="5"/>
    </row>
    <row r="120" spans="4:4" x14ac:dyDescent="0.25">
      <c r="D120" s="5"/>
    </row>
    <row r="121" spans="4:4" x14ac:dyDescent="0.25">
      <c r="D121" s="5"/>
    </row>
    <row r="122" spans="4:4" x14ac:dyDescent="0.25">
      <c r="D122" s="5"/>
    </row>
    <row r="123" spans="4:4" x14ac:dyDescent="0.25">
      <c r="D123" s="5"/>
    </row>
    <row r="124" spans="4:4" x14ac:dyDescent="0.25">
      <c r="D124" s="5"/>
    </row>
    <row r="125" spans="4:4" x14ac:dyDescent="0.25">
      <c r="D125" s="5"/>
    </row>
    <row r="126" spans="4:4" x14ac:dyDescent="0.25">
      <c r="D126" s="5"/>
    </row>
    <row r="127" spans="4:4" x14ac:dyDescent="0.25">
      <c r="D127" s="5"/>
    </row>
  </sheetData>
  <autoFilter ref="C3:G92" xr:uid="{00000000-0001-0000-0300-000000000000}">
    <filterColumn colId="1">
      <customFilters>
        <customFilter operator="notEqual" val=" "/>
      </custom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B1:G16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08984375" defaultRowHeight="11.5" x14ac:dyDescent="0.25"/>
  <cols>
    <col min="1" max="1" width="2" style="2" customWidth="1"/>
    <col min="2" max="2" width="21.6328125" style="2" customWidth="1"/>
    <col min="3" max="3" width="34.90625" style="2" bestFit="1" customWidth="1"/>
    <col min="4" max="4" width="21.08984375" style="2" bestFit="1" customWidth="1"/>
    <col min="5" max="5" width="37.54296875" style="2" bestFit="1" customWidth="1"/>
    <col min="6" max="6" width="11.54296875" style="2" bestFit="1" customWidth="1"/>
    <col min="7" max="7" width="14.26953125" style="2" customWidth="1"/>
    <col min="8" max="8" width="14.90625" style="2" customWidth="1"/>
    <col min="9" max="16384" width="9.08984375" style="2"/>
  </cols>
  <sheetData>
    <row r="1" spans="2:7" ht="15.5" x14ac:dyDescent="0.35">
      <c r="B1" s="33" t="s">
        <v>109</v>
      </c>
    </row>
    <row r="3" spans="2:7" ht="12" thickBot="1" x14ac:dyDescent="0.3">
      <c r="B3" s="36" t="s">
        <v>115</v>
      </c>
      <c r="C3" s="36" t="s">
        <v>117</v>
      </c>
      <c r="D3" s="36" t="s">
        <v>0</v>
      </c>
      <c r="E3" s="36" t="s">
        <v>118</v>
      </c>
      <c r="F3" s="36" t="s">
        <v>119</v>
      </c>
      <c r="G3" s="36" t="s">
        <v>120</v>
      </c>
    </row>
    <row r="4" spans="2:7" x14ac:dyDescent="0.25">
      <c r="B4" s="5" t="str">
        <f>G4&amp;D4</f>
        <v>2001110000105</v>
      </c>
      <c r="C4" s="5" t="s">
        <v>65</v>
      </c>
      <c r="D4" s="5">
        <v>105</v>
      </c>
      <c r="E4" s="5" t="s">
        <v>33</v>
      </c>
      <c r="F4" s="15">
        <v>-355396.61499999999</v>
      </c>
      <c r="G4" s="5">
        <v>2001110000</v>
      </c>
    </row>
    <row r="5" spans="2:7" x14ac:dyDescent="0.25">
      <c r="B5" s="5" t="str">
        <f>G5&amp;D5</f>
        <v>2001110000111111</v>
      </c>
      <c r="C5" s="5" t="s">
        <v>65</v>
      </c>
      <c r="D5" s="5">
        <v>111111</v>
      </c>
      <c r="E5" s="5" t="s">
        <v>99</v>
      </c>
      <c r="F5" s="15">
        <v>-15792898.75</v>
      </c>
      <c r="G5" s="5">
        <v>2001110000</v>
      </c>
    </row>
    <row r="6" spans="2:7" hidden="1" x14ac:dyDescent="0.25">
      <c r="B6" s="2" t="s">
        <v>121</v>
      </c>
      <c r="C6" s="5"/>
      <c r="D6" s="5"/>
      <c r="E6" s="5"/>
      <c r="F6" s="15"/>
      <c r="G6" s="5"/>
    </row>
    <row r="7" spans="2:7" x14ac:dyDescent="0.25">
      <c r="B7" s="5" t="str">
        <f>G7&amp;D7</f>
        <v>2001190000111111</v>
      </c>
      <c r="C7" s="5" t="s">
        <v>66</v>
      </c>
      <c r="D7" s="5">
        <v>111111</v>
      </c>
      <c r="E7" s="5" t="s">
        <v>99</v>
      </c>
      <c r="F7" s="15">
        <v>-6960217.6449999996</v>
      </c>
      <c r="G7" s="5">
        <v>2001190000</v>
      </c>
    </row>
    <row r="8" spans="2:7" hidden="1" x14ac:dyDescent="0.25">
      <c r="B8" s="2" t="s">
        <v>121</v>
      </c>
      <c r="C8" s="5"/>
      <c r="D8" s="5"/>
      <c r="E8" s="5"/>
      <c r="F8" s="15"/>
      <c r="G8" s="5"/>
    </row>
    <row r="9" spans="2:7" x14ac:dyDescent="0.25">
      <c r="B9" s="5" t="str">
        <f>G9&amp;D9</f>
        <v>20200000001086</v>
      </c>
      <c r="C9" s="5" t="s">
        <v>67</v>
      </c>
      <c r="D9" s="5" t="s">
        <v>10</v>
      </c>
      <c r="E9" s="5" t="s">
        <v>47</v>
      </c>
      <c r="F9" s="15">
        <v>-420017.14999999997</v>
      </c>
      <c r="G9" s="5">
        <v>2020000000</v>
      </c>
    </row>
    <row r="10" spans="2:7" x14ac:dyDescent="0.25">
      <c r="B10" s="5" t="str">
        <f>G10&amp;D10</f>
        <v>20200000001007</v>
      </c>
      <c r="C10" s="5" t="s">
        <v>67</v>
      </c>
      <c r="D10" s="5">
        <v>1007</v>
      </c>
      <c r="E10" s="5" t="s">
        <v>37</v>
      </c>
      <c r="F10" s="15">
        <v>-89234.880000000005</v>
      </c>
      <c r="G10" s="5">
        <v>2020000000</v>
      </c>
    </row>
    <row r="11" spans="2:7" x14ac:dyDescent="0.25">
      <c r="B11" s="5" t="str">
        <f>G11&amp;D11</f>
        <v>20200000001008</v>
      </c>
      <c r="C11" s="5" t="s">
        <v>67</v>
      </c>
      <c r="D11" s="5">
        <v>1008</v>
      </c>
      <c r="E11" s="5" t="s">
        <v>39</v>
      </c>
      <c r="F11" s="15">
        <v>-26173</v>
      </c>
      <c r="G11" s="5">
        <v>2020000000</v>
      </c>
    </row>
    <row r="12" spans="2:7" x14ac:dyDescent="0.25">
      <c r="B12" s="5" t="str">
        <f>G12&amp;D12</f>
        <v>2020000000111101</v>
      </c>
      <c r="C12" s="5" t="s">
        <v>67</v>
      </c>
      <c r="D12" s="5">
        <v>111101</v>
      </c>
      <c r="E12" s="5" t="s">
        <v>1</v>
      </c>
      <c r="F12" s="15">
        <v>-209401.92</v>
      </c>
      <c r="G12" s="5">
        <v>2020000000</v>
      </c>
    </row>
    <row r="13" spans="2:7" hidden="1" x14ac:dyDescent="0.25">
      <c r="B13" s="2" t="s">
        <v>121</v>
      </c>
      <c r="C13" s="5"/>
      <c r="D13" s="5"/>
      <c r="E13" s="5"/>
      <c r="F13" s="15"/>
      <c r="G13" s="5"/>
    </row>
    <row r="14" spans="2:7" x14ac:dyDescent="0.25">
      <c r="B14" s="5" t="str">
        <f>G14&amp;D14</f>
        <v>2021210000111111</v>
      </c>
      <c r="C14" s="5" t="s">
        <v>101</v>
      </c>
      <c r="D14" s="5">
        <v>111111</v>
      </c>
      <c r="E14" s="5" t="s">
        <v>99</v>
      </c>
      <c r="F14" s="15">
        <v>14589.33</v>
      </c>
      <c r="G14" s="5">
        <v>2021210000</v>
      </c>
    </row>
    <row r="15" spans="2:7" hidden="1" x14ac:dyDescent="0.25">
      <c r="B15" s="2" t="s">
        <v>121</v>
      </c>
      <c r="C15" s="5"/>
      <c r="D15" s="5"/>
      <c r="E15" s="5"/>
      <c r="F15" s="15"/>
      <c r="G15" s="5"/>
    </row>
    <row r="16" spans="2:7" x14ac:dyDescent="0.25">
      <c r="B16" s="5" t="str">
        <f>G16&amp;D16</f>
        <v>2021900000111111</v>
      </c>
      <c r="C16" s="5" t="s">
        <v>100</v>
      </c>
      <c r="D16" s="5">
        <v>111111</v>
      </c>
      <c r="E16" s="5" t="s">
        <v>99</v>
      </c>
      <c r="F16" s="15">
        <v>5463188.8250000002</v>
      </c>
      <c r="G16" s="5">
        <v>2021900000</v>
      </c>
    </row>
    <row r="17" spans="2:7" hidden="1" x14ac:dyDescent="0.25">
      <c r="B17" s="2" t="s">
        <v>121</v>
      </c>
      <c r="C17" s="5"/>
      <c r="D17" s="5"/>
      <c r="E17" s="5"/>
      <c r="F17" s="15"/>
      <c r="G17" s="5"/>
    </row>
    <row r="18" spans="2:7" x14ac:dyDescent="0.25">
      <c r="B18" s="5" t="str">
        <f>G18&amp;D18</f>
        <v>2024080000111111</v>
      </c>
      <c r="C18" s="5" t="s">
        <v>69</v>
      </c>
      <c r="D18" s="5">
        <v>111111</v>
      </c>
      <c r="E18" s="5" t="s">
        <v>99</v>
      </c>
      <c r="F18" s="15">
        <v>343675</v>
      </c>
      <c r="G18" s="5">
        <v>2024080000</v>
      </c>
    </row>
    <row r="19" spans="2:7" hidden="1" x14ac:dyDescent="0.25">
      <c r="B19" s="2" t="s">
        <v>121</v>
      </c>
      <c r="C19" s="5"/>
      <c r="D19" s="5"/>
      <c r="E19" s="5"/>
      <c r="F19" s="15"/>
      <c r="G19" s="5"/>
    </row>
    <row r="20" spans="2:7" x14ac:dyDescent="0.25">
      <c r="B20" s="5" t="str">
        <f>G20&amp;D20</f>
        <v>202409000019</v>
      </c>
      <c r="C20" s="5" t="s">
        <v>68</v>
      </c>
      <c r="D20" s="5">
        <v>19</v>
      </c>
      <c r="E20" s="5" t="s">
        <v>41</v>
      </c>
      <c r="F20" s="15">
        <v>38521</v>
      </c>
      <c r="G20" s="5">
        <v>2024090000</v>
      </c>
    </row>
    <row r="21" spans="2:7" x14ac:dyDescent="0.25">
      <c r="B21" s="5" t="str">
        <f>G21&amp;D21</f>
        <v>202409000088</v>
      </c>
      <c r="C21" s="5" t="s">
        <v>68</v>
      </c>
      <c r="D21" s="5">
        <v>88</v>
      </c>
      <c r="E21" s="5" t="s">
        <v>32</v>
      </c>
      <c r="F21" s="15">
        <v>1980162.23</v>
      </c>
      <c r="G21" s="5">
        <v>2024090000</v>
      </c>
    </row>
    <row r="22" spans="2:7" x14ac:dyDescent="0.25">
      <c r="B22" s="5" t="str">
        <f>G22&amp;D22</f>
        <v>20240900001283</v>
      </c>
      <c r="C22" s="5" t="s">
        <v>68</v>
      </c>
      <c r="D22" s="5" t="s">
        <v>11</v>
      </c>
      <c r="E22" s="5" t="s">
        <v>34</v>
      </c>
      <c r="F22" s="15">
        <v>1820</v>
      </c>
      <c r="G22" s="5">
        <v>2024090000</v>
      </c>
    </row>
    <row r="23" spans="2:7" x14ac:dyDescent="0.25">
      <c r="B23" s="5" t="str">
        <f>G23&amp;D23</f>
        <v>20240900001924</v>
      </c>
      <c r="C23" s="5" t="s">
        <v>68</v>
      </c>
      <c r="D23" s="5" t="s">
        <v>12</v>
      </c>
      <c r="E23" s="5" t="s">
        <v>36</v>
      </c>
      <c r="F23" s="15">
        <v>10448.129999999999</v>
      </c>
      <c r="G23" s="5">
        <v>2024090000</v>
      </c>
    </row>
    <row r="24" spans="2:7" x14ac:dyDescent="0.25">
      <c r="B24" s="5" t="str">
        <f>G24&amp;D24</f>
        <v>20240900002486</v>
      </c>
      <c r="C24" s="5" t="s">
        <v>68</v>
      </c>
      <c r="D24" s="5" t="s">
        <v>13</v>
      </c>
      <c r="E24" s="5" t="s">
        <v>49</v>
      </c>
      <c r="F24" s="15">
        <v>10412.5</v>
      </c>
      <c r="G24" s="5">
        <v>2024090000</v>
      </c>
    </row>
    <row r="25" spans="2:7" x14ac:dyDescent="0.25">
      <c r="B25" s="5" t="str">
        <f>G25&amp;D25</f>
        <v>2024090000111111</v>
      </c>
      <c r="C25" s="5" t="s">
        <v>68</v>
      </c>
      <c r="D25" s="5">
        <v>111111</v>
      </c>
      <c r="E25" s="5" t="s">
        <v>99</v>
      </c>
      <c r="F25" s="15">
        <v>27148.625</v>
      </c>
      <c r="G25" s="5">
        <v>2024090000</v>
      </c>
    </row>
    <row r="26" spans="2:7" hidden="1" x14ac:dyDescent="0.25">
      <c r="B26" s="2" t="s">
        <v>121</v>
      </c>
      <c r="C26" s="5"/>
      <c r="D26" s="5"/>
      <c r="E26" s="5"/>
      <c r="F26" s="15"/>
      <c r="G26" s="5"/>
    </row>
    <row r="27" spans="2:7" x14ac:dyDescent="0.25">
      <c r="B27" s="5" t="str">
        <f>G27&amp;D27</f>
        <v>2041000000111111</v>
      </c>
      <c r="C27" s="5" t="s">
        <v>2</v>
      </c>
      <c r="D27" s="5">
        <v>111111</v>
      </c>
      <c r="E27" s="5" t="s">
        <v>99</v>
      </c>
      <c r="F27" s="15">
        <v>5507141.0549999997</v>
      </c>
      <c r="G27" s="5">
        <v>2041000000</v>
      </c>
    </row>
    <row r="28" spans="2:7" hidden="1" x14ac:dyDescent="0.25">
      <c r="B28" s="2" t="s">
        <v>121</v>
      </c>
      <c r="C28" s="5"/>
      <c r="D28" s="5"/>
      <c r="E28" s="5"/>
      <c r="F28" s="15"/>
      <c r="G28" s="5"/>
    </row>
    <row r="29" spans="2:7" x14ac:dyDescent="0.25">
      <c r="B29" s="5" t="str">
        <f>G29&amp;D29</f>
        <v>2042000000111101</v>
      </c>
      <c r="C29" s="5" t="s">
        <v>3</v>
      </c>
      <c r="D29" s="5">
        <v>111101</v>
      </c>
      <c r="E29" s="5" t="s">
        <v>1</v>
      </c>
      <c r="F29" s="15">
        <v>1752994.18</v>
      </c>
      <c r="G29" s="5">
        <v>2042000000</v>
      </c>
    </row>
    <row r="30" spans="2:7" x14ac:dyDescent="0.25">
      <c r="B30" s="5" t="str">
        <f>G30&amp;D30</f>
        <v>2042000000111101</v>
      </c>
      <c r="C30" s="5" t="s">
        <v>70</v>
      </c>
      <c r="D30" s="5">
        <v>111101</v>
      </c>
      <c r="E30" s="5" t="s">
        <v>1</v>
      </c>
      <c r="F30" s="15">
        <v>304303.86000000004</v>
      </c>
      <c r="G30" s="5">
        <v>2042000000</v>
      </c>
    </row>
    <row r="31" spans="2:7" hidden="1" x14ac:dyDescent="0.25">
      <c r="B31" s="2" t="s">
        <v>121</v>
      </c>
      <c r="C31" s="5"/>
      <c r="D31" s="5"/>
      <c r="E31" s="5"/>
      <c r="F31" s="15"/>
      <c r="G31" s="5"/>
    </row>
    <row r="32" spans="2:7" x14ac:dyDescent="0.25">
      <c r="B32" s="5" t="str">
        <f>G32&amp;D32</f>
        <v>2045000000111101</v>
      </c>
      <c r="C32" s="5" t="s">
        <v>71</v>
      </c>
      <c r="D32" s="5">
        <v>111101</v>
      </c>
      <c r="E32" s="5" t="s">
        <v>1</v>
      </c>
      <c r="F32" s="15">
        <v>500500</v>
      </c>
      <c r="G32" s="5">
        <v>2045000000</v>
      </c>
    </row>
    <row r="33" spans="2:7" hidden="1" x14ac:dyDescent="0.25">
      <c r="B33" s="2" t="s">
        <v>121</v>
      </c>
      <c r="C33" s="5"/>
      <c r="D33" s="5"/>
      <c r="E33" s="5"/>
      <c r="F33" s="15"/>
      <c r="G33" s="5"/>
    </row>
    <row r="34" spans="2:7" x14ac:dyDescent="0.25">
      <c r="B34" s="5" t="str">
        <f>G34&amp;D34</f>
        <v>2049000000111101</v>
      </c>
      <c r="C34" s="5" t="s">
        <v>14</v>
      </c>
      <c r="D34" s="5">
        <v>111101</v>
      </c>
      <c r="E34" s="5" t="s">
        <v>1</v>
      </c>
      <c r="F34" s="15">
        <v>6919.8499999999995</v>
      </c>
      <c r="G34" s="5">
        <v>2049000000</v>
      </c>
    </row>
    <row r="35" spans="2:7" hidden="1" x14ac:dyDescent="0.25">
      <c r="B35" s="2" t="s">
        <v>121</v>
      </c>
      <c r="C35" s="5"/>
      <c r="D35" s="5"/>
      <c r="E35" s="5"/>
      <c r="F35" s="15"/>
      <c r="G35" s="5"/>
    </row>
    <row r="36" spans="2:7" x14ac:dyDescent="0.25">
      <c r="B36" s="5" t="str">
        <f>G36&amp;D36</f>
        <v>2051210000111101</v>
      </c>
      <c r="C36" s="5" t="s">
        <v>72</v>
      </c>
      <c r="D36" s="5">
        <v>111101</v>
      </c>
      <c r="E36" s="5" t="s">
        <v>1</v>
      </c>
      <c r="F36" s="15">
        <v>1897676.87</v>
      </c>
      <c r="G36" s="5">
        <v>2051210000</v>
      </c>
    </row>
    <row r="37" spans="2:7" hidden="1" x14ac:dyDescent="0.25">
      <c r="B37" s="2" t="s">
        <v>121</v>
      </c>
      <c r="C37" s="5"/>
      <c r="D37" s="5"/>
      <c r="E37" s="5"/>
      <c r="F37" s="15"/>
      <c r="G37" s="5"/>
    </row>
    <row r="38" spans="2:7" x14ac:dyDescent="0.25">
      <c r="B38" s="5" t="str">
        <f>G38&amp;D38</f>
        <v>2051260000111101</v>
      </c>
      <c r="C38" s="5" t="s">
        <v>72</v>
      </c>
      <c r="D38" s="5">
        <v>111101</v>
      </c>
      <c r="E38" s="5" t="s">
        <v>1</v>
      </c>
      <c r="F38" s="15">
        <v>146328.94499999998</v>
      </c>
      <c r="G38" s="5">
        <v>2051260000</v>
      </c>
    </row>
    <row r="39" spans="2:7" hidden="1" x14ac:dyDescent="0.25">
      <c r="B39" s="2" t="s">
        <v>121</v>
      </c>
      <c r="C39" s="5"/>
      <c r="D39" s="5"/>
      <c r="E39" s="5"/>
      <c r="F39" s="15"/>
      <c r="G39" s="5"/>
    </row>
    <row r="40" spans="2:7" x14ac:dyDescent="0.25">
      <c r="B40" s="5" t="str">
        <f>G40&amp;D40</f>
        <v>2060220000111111</v>
      </c>
      <c r="C40" s="5" t="s">
        <v>15</v>
      </c>
      <c r="D40" s="5">
        <v>111111</v>
      </c>
      <c r="E40" s="5" t="s">
        <v>99</v>
      </c>
      <c r="F40" s="15">
        <v>-121553.07499999998</v>
      </c>
      <c r="G40" s="5">
        <v>2060220000</v>
      </c>
    </row>
    <row r="41" spans="2:7" hidden="1" x14ac:dyDescent="0.25">
      <c r="B41" s="2" t="s">
        <v>121</v>
      </c>
      <c r="C41" s="5"/>
      <c r="D41" s="5"/>
      <c r="E41" s="5"/>
      <c r="F41" s="15"/>
      <c r="G41" s="5"/>
    </row>
    <row r="42" spans="2:7" x14ac:dyDescent="0.25">
      <c r="B42" s="5" t="str">
        <f>G42&amp;D42</f>
        <v>20690100001</v>
      </c>
      <c r="C42" s="5" t="s">
        <v>73</v>
      </c>
      <c r="D42" s="5" t="s">
        <v>4</v>
      </c>
      <c r="E42" s="5" t="s">
        <v>40</v>
      </c>
      <c r="F42" s="15">
        <v>-1643711.145</v>
      </c>
      <c r="G42" s="5">
        <v>2069010000</v>
      </c>
    </row>
    <row r="43" spans="2:7" x14ac:dyDescent="0.25">
      <c r="B43" s="5" t="str">
        <f>G43&amp;D43</f>
        <v>206901000019</v>
      </c>
      <c r="C43" s="5" t="s">
        <v>73</v>
      </c>
      <c r="D43" s="5">
        <v>19</v>
      </c>
      <c r="E43" s="5" t="s">
        <v>41</v>
      </c>
      <c r="F43" s="15">
        <v>-416278.66</v>
      </c>
      <c r="G43" s="5">
        <v>2069010000</v>
      </c>
    </row>
    <row r="44" spans="2:7" x14ac:dyDescent="0.25">
      <c r="B44" s="5" t="str">
        <f>G44&amp;D44</f>
        <v>20690100001076</v>
      </c>
      <c r="C44" s="5" t="s">
        <v>73</v>
      </c>
      <c r="D44" s="5" t="s">
        <v>16</v>
      </c>
      <c r="E44" s="5" t="s">
        <v>51</v>
      </c>
      <c r="F44" s="15">
        <v>-364243.84499999997</v>
      </c>
      <c r="G44" s="5">
        <v>2069010000</v>
      </c>
    </row>
    <row r="45" spans="2:7" x14ac:dyDescent="0.25">
      <c r="B45" s="5" t="str">
        <f>G45&amp;D45</f>
        <v>20690100001086</v>
      </c>
      <c r="C45" s="5" t="s">
        <v>73</v>
      </c>
      <c r="D45" s="5" t="s">
        <v>10</v>
      </c>
      <c r="E45" s="5" t="s">
        <v>47</v>
      </c>
      <c r="F45" s="15">
        <v>0</v>
      </c>
      <c r="G45" s="5">
        <v>2069010000</v>
      </c>
    </row>
    <row r="46" spans="2:7" x14ac:dyDescent="0.25">
      <c r="B46" s="5" t="str">
        <f>G46&amp;D46</f>
        <v>20690100001009</v>
      </c>
      <c r="C46" s="5" t="s">
        <v>73</v>
      </c>
      <c r="D46" s="5">
        <v>1009</v>
      </c>
      <c r="E46" s="5" t="s">
        <v>35</v>
      </c>
      <c r="F46" s="15">
        <v>0</v>
      </c>
      <c r="G46" s="5">
        <v>2069010000</v>
      </c>
    </row>
    <row r="47" spans="2:7" x14ac:dyDescent="0.25">
      <c r="B47" s="5" t="str">
        <f>G47&amp;D47</f>
        <v>20690100001007</v>
      </c>
      <c r="C47" s="5" t="s">
        <v>73</v>
      </c>
      <c r="D47" s="5">
        <v>1007</v>
      </c>
      <c r="E47" s="5" t="s">
        <v>37</v>
      </c>
      <c r="F47" s="15">
        <v>0</v>
      </c>
      <c r="G47" s="5">
        <v>2069010000</v>
      </c>
    </row>
    <row r="48" spans="2:7" x14ac:dyDescent="0.25">
      <c r="B48" s="5" t="str">
        <f>G48&amp;D48</f>
        <v>20690100001008</v>
      </c>
      <c r="C48" s="5" t="s">
        <v>73</v>
      </c>
      <c r="D48" s="5">
        <v>1008</v>
      </c>
      <c r="E48" s="5" t="s">
        <v>39</v>
      </c>
      <c r="F48" s="15">
        <v>0</v>
      </c>
      <c r="G48" s="5">
        <v>2069010000</v>
      </c>
    </row>
    <row r="49" spans="2:7" x14ac:dyDescent="0.25">
      <c r="B49" s="5" t="str">
        <f>G49&amp;D49</f>
        <v>20690100001240</v>
      </c>
      <c r="C49" s="5" t="s">
        <v>73</v>
      </c>
      <c r="D49" s="5">
        <v>1240</v>
      </c>
      <c r="E49" s="5" t="s">
        <v>44</v>
      </c>
      <c r="F49" s="15">
        <v>-10461.36</v>
      </c>
      <c r="G49" s="5">
        <v>2069010000</v>
      </c>
    </row>
    <row r="50" spans="2:7" x14ac:dyDescent="0.25">
      <c r="B50" s="5" t="str">
        <f>G50&amp;D50</f>
        <v>20690100001007</v>
      </c>
      <c r="C50" s="5" t="s">
        <v>73</v>
      </c>
      <c r="D50" s="5">
        <v>1007</v>
      </c>
      <c r="E50" s="5" t="s">
        <v>38</v>
      </c>
      <c r="F50" s="15">
        <v>0</v>
      </c>
      <c r="G50" s="5">
        <v>2069010000</v>
      </c>
    </row>
    <row r="51" spans="2:7" x14ac:dyDescent="0.25">
      <c r="B51" s="5" t="str">
        <f>G51&amp;D51</f>
        <v>206901000047037</v>
      </c>
      <c r="C51" s="5" t="s">
        <v>73</v>
      </c>
      <c r="D51" s="5" t="s">
        <v>17</v>
      </c>
      <c r="E51" s="5" t="s">
        <v>52</v>
      </c>
      <c r="F51" s="15">
        <v>-482611.04499999998</v>
      </c>
      <c r="G51" s="5">
        <v>2069010000</v>
      </c>
    </row>
    <row r="52" spans="2:7" x14ac:dyDescent="0.25">
      <c r="B52" s="5" t="str">
        <f>G52&amp;D52</f>
        <v>2069010000111111</v>
      </c>
      <c r="C52" s="5" t="s">
        <v>73</v>
      </c>
      <c r="D52" s="5">
        <v>111111</v>
      </c>
      <c r="E52" s="5" t="s">
        <v>99</v>
      </c>
      <c r="F52" s="15">
        <v>-6785.94</v>
      </c>
      <c r="G52" s="5">
        <v>2069010000</v>
      </c>
    </row>
    <row r="53" spans="2:7" hidden="1" x14ac:dyDescent="0.25">
      <c r="B53" s="2" t="s">
        <v>121</v>
      </c>
      <c r="C53" s="5"/>
      <c r="D53" s="5"/>
      <c r="E53" s="5"/>
      <c r="F53" s="15"/>
      <c r="G53" s="5"/>
    </row>
    <row r="54" spans="2:7" x14ac:dyDescent="0.25">
      <c r="B54" s="5" t="str">
        <f>G54&amp;D54</f>
        <v>206998000088</v>
      </c>
      <c r="C54" s="5" t="s">
        <v>74</v>
      </c>
      <c r="D54" s="5">
        <v>88</v>
      </c>
      <c r="E54" s="5" t="s">
        <v>32</v>
      </c>
      <c r="F54" s="15">
        <v>-2436.35</v>
      </c>
      <c r="G54" s="5">
        <v>2069980000</v>
      </c>
    </row>
    <row r="55" spans="2:7" x14ac:dyDescent="0.25">
      <c r="B55" s="5" t="str">
        <f>G55&amp;D55</f>
        <v>2069980000111111</v>
      </c>
      <c r="C55" s="5" t="s">
        <v>74</v>
      </c>
      <c r="D55" s="5">
        <v>111111</v>
      </c>
      <c r="E55" s="5" t="s">
        <v>99</v>
      </c>
      <c r="F55" s="15">
        <v>9793.84</v>
      </c>
      <c r="G55" s="5">
        <v>2069980000</v>
      </c>
    </row>
    <row r="56" spans="2:7" hidden="1" x14ac:dyDescent="0.25">
      <c r="B56" s="2" t="s">
        <v>121</v>
      </c>
      <c r="C56" s="5"/>
      <c r="D56" s="5"/>
      <c r="E56" s="5"/>
      <c r="F56" s="15"/>
      <c r="G56" s="5"/>
    </row>
    <row r="57" spans="2:7" x14ac:dyDescent="0.25">
      <c r="B57" s="5" t="str">
        <f>G57&amp;D57</f>
        <v>2070290000111101</v>
      </c>
      <c r="C57" s="5" t="s">
        <v>18</v>
      </c>
      <c r="D57" s="5">
        <v>111101</v>
      </c>
      <c r="E57" s="5" t="s">
        <v>1</v>
      </c>
      <c r="F57" s="15">
        <v>81.339999999999989</v>
      </c>
      <c r="G57" s="5">
        <v>2070290000</v>
      </c>
    </row>
    <row r="58" spans="2:7" hidden="1" x14ac:dyDescent="0.25">
      <c r="B58" s="2" t="s">
        <v>121</v>
      </c>
      <c r="C58" s="5"/>
      <c r="D58" s="5"/>
      <c r="E58" s="5"/>
      <c r="F58" s="15"/>
      <c r="G58" s="5"/>
    </row>
    <row r="59" spans="2:7" x14ac:dyDescent="0.25">
      <c r="B59" s="5" t="str">
        <f>G59&amp;D59</f>
        <v>2070400000111111</v>
      </c>
      <c r="C59" s="5" t="s">
        <v>75</v>
      </c>
      <c r="D59" s="5">
        <v>111111</v>
      </c>
      <c r="E59" s="5" t="s">
        <v>99</v>
      </c>
      <c r="F59" s="15">
        <v>65947.7</v>
      </c>
      <c r="G59" s="5">
        <v>2070400000</v>
      </c>
    </row>
    <row r="60" spans="2:7" hidden="1" x14ac:dyDescent="0.25">
      <c r="B60" s="2" t="s">
        <v>121</v>
      </c>
      <c r="C60" s="5"/>
      <c r="D60" s="5"/>
      <c r="E60" s="5"/>
      <c r="F60" s="15"/>
      <c r="G60" s="5"/>
    </row>
    <row r="61" spans="2:7" x14ac:dyDescent="0.25">
      <c r="B61" s="5" t="str">
        <f>G61&amp;D61</f>
        <v>2070500000111111</v>
      </c>
      <c r="C61" s="5" t="s">
        <v>76</v>
      </c>
      <c r="D61" s="5">
        <v>111111</v>
      </c>
      <c r="E61" s="5" t="s">
        <v>99</v>
      </c>
      <c r="F61" s="15">
        <v>5138.91</v>
      </c>
      <c r="G61" s="5">
        <v>2070500000</v>
      </c>
    </row>
    <row r="62" spans="2:7" hidden="1" x14ac:dyDescent="0.25">
      <c r="B62" s="2" t="s">
        <v>121</v>
      </c>
      <c r="C62" s="5"/>
      <c r="D62" s="5"/>
      <c r="E62" s="5"/>
      <c r="F62" s="15"/>
      <c r="G62" s="5"/>
    </row>
    <row r="63" spans="2:7" x14ac:dyDescent="0.25">
      <c r="B63" s="5" t="str">
        <f>G63&amp;D63</f>
        <v>2070600000111111</v>
      </c>
      <c r="C63" s="5" t="s">
        <v>77</v>
      </c>
      <c r="D63" s="5">
        <v>111111</v>
      </c>
      <c r="E63" s="5" t="s">
        <v>99</v>
      </c>
      <c r="F63" s="15">
        <v>1055381.4750000001</v>
      </c>
      <c r="G63" s="5">
        <v>2070600000</v>
      </c>
    </row>
    <row r="64" spans="2:7" hidden="1" x14ac:dyDescent="0.25">
      <c r="B64" s="2" t="s">
        <v>121</v>
      </c>
      <c r="C64" s="5"/>
      <c r="D64" s="5"/>
      <c r="E64" s="5"/>
      <c r="F64" s="15"/>
      <c r="G64" s="5"/>
    </row>
    <row r="65" spans="2:7" x14ac:dyDescent="0.25">
      <c r="B65" s="5" t="str">
        <f>G65&amp;D65</f>
        <v>20709000002240</v>
      </c>
      <c r="C65" s="5" t="s">
        <v>78</v>
      </c>
      <c r="D65" s="5" t="s">
        <v>6</v>
      </c>
      <c r="E65" s="5" t="s">
        <v>43</v>
      </c>
      <c r="F65" s="15">
        <v>430845.34499999997</v>
      </c>
      <c r="G65" s="5">
        <v>2070900000</v>
      </c>
    </row>
    <row r="66" spans="2:7" x14ac:dyDescent="0.25">
      <c r="B66" s="5" t="str">
        <f>G66&amp;D66</f>
        <v>2070900000105</v>
      </c>
      <c r="C66" s="5" t="s">
        <v>78</v>
      </c>
      <c r="D66" s="5">
        <v>105</v>
      </c>
      <c r="E66" s="5" t="s">
        <v>33</v>
      </c>
      <c r="F66" s="15">
        <v>276920</v>
      </c>
      <c r="G66" s="5">
        <v>2070900000</v>
      </c>
    </row>
    <row r="67" spans="2:7" x14ac:dyDescent="0.25">
      <c r="B67" s="5" t="str">
        <f>G67&amp;D67</f>
        <v>2070900000111111</v>
      </c>
      <c r="C67" s="5" t="s">
        <v>78</v>
      </c>
      <c r="D67" s="5">
        <v>111111</v>
      </c>
      <c r="E67" s="5" t="s">
        <v>99</v>
      </c>
      <c r="F67" s="15">
        <v>1130021</v>
      </c>
      <c r="G67" s="5">
        <v>2070900000</v>
      </c>
    </row>
    <row r="68" spans="2:7" hidden="1" x14ac:dyDescent="0.25">
      <c r="B68" s="2" t="s">
        <v>121</v>
      </c>
      <c r="C68" s="5"/>
      <c r="D68" s="5"/>
      <c r="E68" s="5"/>
      <c r="F68" s="15"/>
      <c r="G68" s="5"/>
    </row>
    <row r="69" spans="2:7" x14ac:dyDescent="0.25">
      <c r="B69" s="5" t="str">
        <f>G69&amp;D69</f>
        <v>2071000000111111</v>
      </c>
      <c r="C69" s="5" t="s">
        <v>7</v>
      </c>
      <c r="D69" s="5">
        <v>111111</v>
      </c>
      <c r="E69" s="5" t="s">
        <v>99</v>
      </c>
      <c r="F69" s="15">
        <v>7293.5450000000001</v>
      </c>
      <c r="G69" s="5">
        <v>2071000000</v>
      </c>
    </row>
    <row r="70" spans="2:7" hidden="1" x14ac:dyDescent="0.25">
      <c r="B70" s="2" t="s">
        <v>121</v>
      </c>
      <c r="C70" s="5"/>
      <c r="D70" s="5"/>
      <c r="E70" s="5"/>
      <c r="F70" s="15"/>
      <c r="G70" s="5"/>
    </row>
    <row r="71" spans="2:7" x14ac:dyDescent="0.25">
      <c r="B71" s="5" t="str">
        <f>G71&amp;D71</f>
        <v>20711000001900</v>
      </c>
      <c r="C71" s="5" t="s">
        <v>79</v>
      </c>
      <c r="D71" s="5">
        <v>1900</v>
      </c>
      <c r="E71" s="5" t="s">
        <v>53</v>
      </c>
      <c r="F71" s="15">
        <v>0</v>
      </c>
      <c r="G71" s="5">
        <v>2071100000</v>
      </c>
    </row>
    <row r="72" spans="2:7" x14ac:dyDescent="0.25">
      <c r="B72" s="5" t="str">
        <f>G72&amp;D72</f>
        <v>2071100000111111</v>
      </c>
      <c r="C72" s="5" t="s">
        <v>79</v>
      </c>
      <c r="D72" s="5">
        <v>111111</v>
      </c>
      <c r="E72" s="5" t="s">
        <v>99</v>
      </c>
      <c r="F72" s="15">
        <v>48468.665000000001</v>
      </c>
      <c r="G72" s="5">
        <v>2071100000</v>
      </c>
    </row>
    <row r="73" spans="2:7" hidden="1" x14ac:dyDescent="0.25">
      <c r="B73" s="2" t="s">
        <v>121</v>
      </c>
      <c r="C73" s="5"/>
      <c r="D73" s="5"/>
      <c r="E73" s="5"/>
      <c r="F73" s="15"/>
      <c r="G73" s="5"/>
    </row>
    <row r="74" spans="2:7" x14ac:dyDescent="0.25">
      <c r="B74" s="5" t="str">
        <f>G74&amp;D74</f>
        <v>20712092001118</v>
      </c>
      <c r="C74" s="5" t="s">
        <v>8</v>
      </c>
      <c r="D74" s="5" t="s">
        <v>19</v>
      </c>
      <c r="E74" s="5" t="s">
        <v>55</v>
      </c>
      <c r="F74" s="15">
        <v>23928.799999999999</v>
      </c>
      <c r="G74" s="5">
        <v>2071209200</v>
      </c>
    </row>
    <row r="75" spans="2:7" x14ac:dyDescent="0.25">
      <c r="B75" s="5" t="str">
        <f>G75&amp;D75</f>
        <v>2071209200111111</v>
      </c>
      <c r="C75" s="5" t="s">
        <v>8</v>
      </c>
      <c r="D75" s="5">
        <v>111111</v>
      </c>
      <c r="E75" s="5" t="s">
        <v>99</v>
      </c>
      <c r="F75" s="15">
        <v>2393259.19</v>
      </c>
      <c r="G75" s="5">
        <v>2071209200</v>
      </c>
    </row>
    <row r="76" spans="2:7" hidden="1" x14ac:dyDescent="0.25">
      <c r="B76" s="2" t="s">
        <v>121</v>
      </c>
      <c r="C76" s="5"/>
      <c r="D76" s="5"/>
      <c r="E76" s="5"/>
      <c r="F76" s="15"/>
      <c r="G76" s="5"/>
    </row>
    <row r="77" spans="2:7" x14ac:dyDescent="0.25">
      <c r="B77" s="5" t="str">
        <f>G77&amp;D77</f>
        <v>2071209400111111</v>
      </c>
      <c r="C77" s="5" t="s">
        <v>80</v>
      </c>
      <c r="D77" s="5">
        <v>111111</v>
      </c>
      <c r="E77" s="5" t="s">
        <v>99</v>
      </c>
      <c r="F77" s="15">
        <v>23069.654999999999</v>
      </c>
      <c r="G77" s="5">
        <v>2071209400</v>
      </c>
    </row>
    <row r="78" spans="2:7" hidden="1" x14ac:dyDescent="0.25">
      <c r="B78" s="2" t="s">
        <v>121</v>
      </c>
      <c r="C78" s="5"/>
      <c r="D78" s="5"/>
      <c r="E78" s="5"/>
      <c r="F78" s="15"/>
      <c r="G78" s="5"/>
    </row>
    <row r="79" spans="2:7" x14ac:dyDescent="0.25">
      <c r="B79" s="5" t="str">
        <f>G79&amp;D79</f>
        <v>2071209500111111</v>
      </c>
      <c r="C79" s="5" t="s">
        <v>81</v>
      </c>
      <c r="D79" s="5">
        <v>111111</v>
      </c>
      <c r="E79" s="5" t="s">
        <v>99</v>
      </c>
      <c r="F79" s="15">
        <v>208366.935</v>
      </c>
      <c r="G79" s="5">
        <v>2071209500</v>
      </c>
    </row>
    <row r="80" spans="2:7" hidden="1" x14ac:dyDescent="0.25">
      <c r="B80" s="2" t="s">
        <v>121</v>
      </c>
      <c r="C80" s="5"/>
      <c r="D80" s="5"/>
      <c r="E80" s="5"/>
      <c r="F80" s="15"/>
      <c r="G80" s="5"/>
    </row>
    <row r="81" spans="2:7" x14ac:dyDescent="0.25">
      <c r="B81" s="5" t="str">
        <f>G81&amp;D81</f>
        <v>2071220000111111</v>
      </c>
      <c r="C81" s="5" t="s">
        <v>20</v>
      </c>
      <c r="D81" s="5">
        <v>111111</v>
      </c>
      <c r="E81" s="5" t="s">
        <v>99</v>
      </c>
      <c r="F81" s="15">
        <v>308232</v>
      </c>
      <c r="G81" s="5">
        <v>2071220000</v>
      </c>
    </row>
    <row r="82" spans="2:7" hidden="1" x14ac:dyDescent="0.25">
      <c r="B82" s="2" t="s">
        <v>121</v>
      </c>
      <c r="C82" s="5"/>
      <c r="D82" s="5"/>
      <c r="E82" s="5"/>
      <c r="F82" s="15"/>
      <c r="G82" s="5"/>
    </row>
    <row r="83" spans="2:7" x14ac:dyDescent="0.25">
      <c r="B83" s="5" t="str">
        <f>G83&amp;D83</f>
        <v>207151100019</v>
      </c>
      <c r="C83" s="5" t="s">
        <v>21</v>
      </c>
      <c r="D83" s="5">
        <v>19</v>
      </c>
      <c r="E83" s="5" t="s">
        <v>41</v>
      </c>
      <c r="F83" s="15">
        <v>13422.779999999999</v>
      </c>
      <c r="G83" s="5">
        <v>2071511000</v>
      </c>
    </row>
    <row r="84" spans="2:7" x14ac:dyDescent="0.25">
      <c r="B84" s="5" t="str">
        <f>G84&amp;D84</f>
        <v>2071511000111111</v>
      </c>
      <c r="C84" s="5" t="s">
        <v>21</v>
      </c>
      <c r="D84" s="5">
        <v>111111</v>
      </c>
      <c r="E84" s="5" t="s">
        <v>99</v>
      </c>
      <c r="F84" s="15">
        <v>4045.6150000000002</v>
      </c>
      <c r="G84" s="5">
        <v>2071511000</v>
      </c>
    </row>
    <row r="85" spans="2:7" hidden="1" x14ac:dyDescent="0.25">
      <c r="B85" s="2" t="s">
        <v>121</v>
      </c>
      <c r="C85" s="5"/>
      <c r="D85" s="5"/>
      <c r="E85" s="5"/>
      <c r="F85" s="15"/>
      <c r="G85" s="5"/>
    </row>
    <row r="86" spans="2:7" x14ac:dyDescent="0.25">
      <c r="B86" s="5" t="str">
        <f>G86&amp;D86</f>
        <v>2071910000111111</v>
      </c>
      <c r="C86" s="5" t="s">
        <v>22</v>
      </c>
      <c r="D86" s="5">
        <v>111111</v>
      </c>
      <c r="E86" s="5" t="s">
        <v>99</v>
      </c>
      <c r="F86" s="15">
        <v>49621.144999999997</v>
      </c>
      <c r="G86" s="5">
        <v>2071910000</v>
      </c>
    </row>
    <row r="87" spans="2:7" hidden="1" x14ac:dyDescent="0.25">
      <c r="B87" s="2" t="s">
        <v>121</v>
      </c>
      <c r="C87" s="5"/>
      <c r="D87" s="5"/>
      <c r="E87" s="5"/>
      <c r="F87" s="15"/>
      <c r="G87" s="5"/>
    </row>
    <row r="88" spans="2:7" x14ac:dyDescent="0.25">
      <c r="B88" s="5" t="str">
        <f>G88&amp;D88</f>
        <v>2071980000111101</v>
      </c>
      <c r="C88" s="5" t="s">
        <v>82</v>
      </c>
      <c r="D88" s="5">
        <v>111101</v>
      </c>
      <c r="E88" s="5" t="s">
        <v>1</v>
      </c>
      <c r="F88" s="15">
        <v>20323.309999999998</v>
      </c>
      <c r="G88" s="5">
        <v>2071980000</v>
      </c>
    </row>
    <row r="89" spans="2:7" hidden="1" x14ac:dyDescent="0.25">
      <c r="B89" s="2" t="s">
        <v>121</v>
      </c>
      <c r="C89" s="5"/>
      <c r="D89" s="5"/>
      <c r="E89" s="5"/>
      <c r="F89" s="15"/>
      <c r="G89" s="5"/>
    </row>
    <row r="90" spans="2:7" x14ac:dyDescent="0.25">
      <c r="B90" s="5" t="str">
        <f>G90&amp;D90</f>
        <v>2079022000111111</v>
      </c>
      <c r="C90" s="5" t="s">
        <v>83</v>
      </c>
      <c r="D90" s="5">
        <v>111111</v>
      </c>
      <c r="E90" s="5" t="s">
        <v>99</v>
      </c>
      <c r="F90" s="15">
        <v>169489</v>
      </c>
      <c r="G90" s="5">
        <v>2079022000</v>
      </c>
    </row>
    <row r="91" spans="2:7" hidden="1" x14ac:dyDescent="0.25">
      <c r="B91" s="2" t="s">
        <v>121</v>
      </c>
      <c r="C91" s="5"/>
      <c r="D91" s="5"/>
      <c r="E91" s="5"/>
      <c r="F91" s="15"/>
      <c r="G91" s="5"/>
    </row>
    <row r="92" spans="2:7" x14ac:dyDescent="0.25">
      <c r="B92" s="5" t="str">
        <f>G92&amp;D92</f>
        <v>207907000019</v>
      </c>
      <c r="C92" s="5" t="s">
        <v>84</v>
      </c>
      <c r="D92" s="5">
        <v>19</v>
      </c>
      <c r="E92" s="5" t="s">
        <v>41</v>
      </c>
      <c r="F92" s="15">
        <v>85462.684999999998</v>
      </c>
      <c r="G92" s="5">
        <v>2079070000</v>
      </c>
    </row>
    <row r="93" spans="2:7" x14ac:dyDescent="0.25">
      <c r="B93" s="5" t="str">
        <f>G93&amp;D93</f>
        <v>207907000043</v>
      </c>
      <c r="C93" s="5" t="s">
        <v>84</v>
      </c>
      <c r="D93" s="5" t="s">
        <v>5</v>
      </c>
      <c r="E93" s="5" t="s">
        <v>42</v>
      </c>
      <c r="F93" s="15">
        <v>11422.144999999999</v>
      </c>
      <c r="G93" s="5">
        <v>2079070000</v>
      </c>
    </row>
    <row r="94" spans="2:7" x14ac:dyDescent="0.25">
      <c r="B94" s="5" t="str">
        <f>G94&amp;D94</f>
        <v>20790700001924</v>
      </c>
      <c r="C94" s="5" t="s">
        <v>84</v>
      </c>
      <c r="D94" s="5" t="s">
        <v>12</v>
      </c>
      <c r="E94" s="5" t="s">
        <v>36</v>
      </c>
      <c r="F94" s="15">
        <v>84438.864999999991</v>
      </c>
      <c r="G94" s="5">
        <v>2079070000</v>
      </c>
    </row>
    <row r="95" spans="2:7" x14ac:dyDescent="0.25">
      <c r="B95" s="5" t="str">
        <f>G95&amp;D95</f>
        <v>2079070000111111</v>
      </c>
      <c r="C95" s="5" t="s">
        <v>84</v>
      </c>
      <c r="D95" s="5">
        <v>111111</v>
      </c>
      <c r="E95" s="5" t="s">
        <v>99</v>
      </c>
      <c r="F95" s="15">
        <v>638869.13</v>
      </c>
      <c r="G95" s="5">
        <v>2079070000</v>
      </c>
    </row>
    <row r="96" spans="2:7" hidden="1" x14ac:dyDescent="0.25">
      <c r="B96" s="2" t="s">
        <v>121</v>
      </c>
      <c r="C96" s="5"/>
      <c r="D96" s="5"/>
      <c r="E96" s="5"/>
      <c r="F96" s="15"/>
      <c r="G96" s="5"/>
    </row>
    <row r="97" spans="2:7" x14ac:dyDescent="0.25">
      <c r="B97" s="5" t="str">
        <f>G97&amp;D97</f>
        <v>20790800001086</v>
      </c>
      <c r="C97" s="5" t="s">
        <v>85</v>
      </c>
      <c r="D97" s="5" t="s">
        <v>10</v>
      </c>
      <c r="E97" s="5" t="s">
        <v>47</v>
      </c>
      <c r="F97" s="15">
        <v>0</v>
      </c>
      <c r="G97" s="5">
        <v>2079080000</v>
      </c>
    </row>
    <row r="98" spans="2:7" x14ac:dyDescent="0.25">
      <c r="B98" s="5" t="str">
        <f>G98&amp;D98</f>
        <v>20790800001007</v>
      </c>
      <c r="C98" s="5" t="s">
        <v>85</v>
      </c>
      <c r="D98" s="5">
        <v>1007</v>
      </c>
      <c r="E98" s="5" t="s">
        <v>37</v>
      </c>
      <c r="F98" s="15">
        <v>0</v>
      </c>
      <c r="G98" s="5">
        <v>2079080000</v>
      </c>
    </row>
    <row r="99" spans="2:7" x14ac:dyDescent="0.25">
      <c r="B99" s="5" t="str">
        <f>G99&amp;D99</f>
        <v>20790800001008</v>
      </c>
      <c r="C99" s="5" t="s">
        <v>85</v>
      </c>
      <c r="D99" s="5">
        <v>1008</v>
      </c>
      <c r="E99" s="5" t="s">
        <v>39</v>
      </c>
      <c r="F99" s="15">
        <v>0</v>
      </c>
      <c r="G99" s="5">
        <v>2079080000</v>
      </c>
    </row>
    <row r="100" spans="2:7" hidden="1" x14ac:dyDescent="0.25">
      <c r="B100" s="2" t="s">
        <v>121</v>
      </c>
      <c r="C100" s="5"/>
      <c r="D100" s="5"/>
      <c r="E100" s="5"/>
      <c r="F100" s="15"/>
      <c r="G100" s="5"/>
    </row>
    <row r="101" spans="2:7" x14ac:dyDescent="0.25">
      <c r="B101" s="5" t="str">
        <f>G101&amp;D101</f>
        <v>20822800001086</v>
      </c>
      <c r="C101" s="5" t="s">
        <v>86</v>
      </c>
      <c r="D101" s="5" t="s">
        <v>10</v>
      </c>
      <c r="E101" s="5" t="s">
        <v>47</v>
      </c>
      <c r="F101" s="15">
        <v>0</v>
      </c>
      <c r="G101" s="5">
        <v>2082280000</v>
      </c>
    </row>
    <row r="102" spans="2:7" x14ac:dyDescent="0.25">
      <c r="B102" s="5" t="str">
        <f>G102&amp;D102</f>
        <v>20822800001009</v>
      </c>
      <c r="C102" s="5" t="s">
        <v>86</v>
      </c>
      <c r="D102" s="5">
        <v>1009</v>
      </c>
      <c r="E102" s="5" t="s">
        <v>35</v>
      </c>
      <c r="F102" s="15">
        <v>0</v>
      </c>
      <c r="G102" s="5">
        <v>2082280000</v>
      </c>
    </row>
    <row r="103" spans="2:7" x14ac:dyDescent="0.25">
      <c r="B103" s="5" t="str">
        <f>G103&amp;D103</f>
        <v>20822800001007</v>
      </c>
      <c r="C103" s="5" t="s">
        <v>86</v>
      </c>
      <c r="D103" s="5">
        <v>1007</v>
      </c>
      <c r="E103" s="5" t="s">
        <v>37</v>
      </c>
      <c r="F103" s="15">
        <v>0</v>
      </c>
      <c r="G103" s="5">
        <v>2082280000</v>
      </c>
    </row>
    <row r="104" spans="2:7" x14ac:dyDescent="0.25">
      <c r="B104" s="5" t="str">
        <f>G104&amp;D104</f>
        <v>20822800001008</v>
      </c>
      <c r="C104" s="5" t="s">
        <v>86</v>
      </c>
      <c r="D104" s="5">
        <v>1008</v>
      </c>
      <c r="E104" s="5" t="s">
        <v>39</v>
      </c>
      <c r="F104" s="15">
        <v>0</v>
      </c>
      <c r="G104" s="5">
        <v>2082280000</v>
      </c>
    </row>
    <row r="105" spans="2:7" x14ac:dyDescent="0.25">
      <c r="B105" s="5" t="str">
        <f>G105&amp;D105</f>
        <v>20822800001240</v>
      </c>
      <c r="C105" s="5" t="s">
        <v>86</v>
      </c>
      <c r="D105" s="5">
        <v>1240</v>
      </c>
      <c r="E105" s="5" t="s">
        <v>44</v>
      </c>
      <c r="F105" s="15">
        <v>-34224.959999999999</v>
      </c>
      <c r="G105" s="5">
        <v>2082280000</v>
      </c>
    </row>
    <row r="106" spans="2:7" x14ac:dyDescent="0.25">
      <c r="B106" s="5" t="str">
        <f>G106&amp;D106</f>
        <v>20822800001006</v>
      </c>
      <c r="C106" s="5" t="s">
        <v>86</v>
      </c>
      <c r="D106" s="5">
        <v>1006</v>
      </c>
      <c r="E106" s="5" t="s">
        <v>54</v>
      </c>
      <c r="F106" s="15">
        <v>-6778.415</v>
      </c>
      <c r="G106" s="5">
        <v>2082280000</v>
      </c>
    </row>
    <row r="107" spans="2:7" x14ac:dyDescent="0.25">
      <c r="B107" s="5" t="str">
        <f>G107&amp;D107</f>
        <v>20822800001007</v>
      </c>
      <c r="C107" s="5" t="s">
        <v>86</v>
      </c>
      <c r="D107" s="5">
        <v>1007</v>
      </c>
      <c r="E107" s="5" t="s">
        <v>38</v>
      </c>
      <c r="F107" s="15">
        <v>0</v>
      </c>
      <c r="G107" s="5">
        <v>2082280000</v>
      </c>
    </row>
    <row r="108" spans="2:7" x14ac:dyDescent="0.25">
      <c r="B108" s="5" t="str">
        <f>G108&amp;D108</f>
        <v>2082280000111111</v>
      </c>
      <c r="C108" s="5" t="s">
        <v>86</v>
      </c>
      <c r="D108" s="5">
        <v>111111</v>
      </c>
      <c r="E108" s="5" t="s">
        <v>99</v>
      </c>
      <c r="F108" s="15">
        <v>-2204.7199999999998</v>
      </c>
      <c r="G108" s="5">
        <v>2082280000</v>
      </c>
    </row>
    <row r="109" spans="2:7" hidden="1" x14ac:dyDescent="0.25">
      <c r="B109" s="2" t="s">
        <v>121</v>
      </c>
      <c r="C109" s="5"/>
      <c r="D109" s="5"/>
      <c r="E109" s="5"/>
      <c r="F109" s="15"/>
      <c r="G109" s="5"/>
    </row>
    <row r="110" spans="2:7" x14ac:dyDescent="0.25">
      <c r="B110" s="5" t="str">
        <f>G110&amp;D110</f>
        <v>2082208200111101</v>
      </c>
      <c r="C110" s="5" t="s">
        <v>87</v>
      </c>
      <c r="D110" s="5">
        <v>111101</v>
      </c>
      <c r="E110" s="5" t="s">
        <v>1</v>
      </c>
      <c r="F110" s="15">
        <v>80617.179999999993</v>
      </c>
      <c r="G110" s="5">
        <v>2082208200</v>
      </c>
    </row>
    <row r="111" spans="2:7" hidden="1" x14ac:dyDescent="0.25">
      <c r="B111" s="2" t="s">
        <v>121</v>
      </c>
      <c r="C111" s="5"/>
      <c r="D111" s="5"/>
      <c r="E111" s="5"/>
      <c r="F111" s="15"/>
      <c r="G111" s="5"/>
    </row>
    <row r="112" spans="2:7" x14ac:dyDescent="0.25">
      <c r="B112" s="5" t="str">
        <f>G112&amp;D112</f>
        <v>208221400088</v>
      </c>
      <c r="C112" s="5" t="s">
        <v>88</v>
      </c>
      <c r="D112" s="5">
        <v>88</v>
      </c>
      <c r="E112" s="5" t="s">
        <v>32</v>
      </c>
      <c r="F112" s="15">
        <v>2752704.22</v>
      </c>
      <c r="G112" s="5">
        <v>2082214000</v>
      </c>
    </row>
    <row r="113" spans="2:7" x14ac:dyDescent="0.25">
      <c r="B113" s="5" t="str">
        <f>G113&amp;D113</f>
        <v>20822140001007</v>
      </c>
      <c r="C113" s="5" t="s">
        <v>88</v>
      </c>
      <c r="D113" s="5">
        <v>1007</v>
      </c>
      <c r="E113" s="5" t="s">
        <v>38</v>
      </c>
      <c r="F113" s="15">
        <v>0</v>
      </c>
      <c r="G113" s="5">
        <v>2082214000</v>
      </c>
    </row>
    <row r="114" spans="2:7" x14ac:dyDescent="0.25">
      <c r="B114" s="5" t="str">
        <f>G114&amp;D114</f>
        <v>2082214000111111</v>
      </c>
      <c r="C114" s="5" t="s">
        <v>88</v>
      </c>
      <c r="D114" s="5">
        <v>111111</v>
      </c>
      <c r="E114" s="5" t="s">
        <v>99</v>
      </c>
      <c r="F114" s="15">
        <v>1250.7950000000001</v>
      </c>
      <c r="G114" s="5">
        <v>2082214000</v>
      </c>
    </row>
    <row r="115" spans="2:7" hidden="1" x14ac:dyDescent="0.25">
      <c r="B115" s="2" t="s">
        <v>121</v>
      </c>
      <c r="C115" s="5"/>
      <c r="D115" s="5"/>
      <c r="E115" s="5"/>
      <c r="F115" s="15"/>
      <c r="G115" s="5"/>
    </row>
    <row r="116" spans="2:7" x14ac:dyDescent="0.25">
      <c r="B116" s="5" t="str">
        <f>G116&amp;D116</f>
        <v>20821100001240</v>
      </c>
      <c r="C116" s="5" t="s">
        <v>102</v>
      </c>
      <c r="D116" s="5">
        <v>1240</v>
      </c>
      <c r="E116" s="5" t="s">
        <v>44</v>
      </c>
      <c r="F116" s="15">
        <v>4130000</v>
      </c>
      <c r="G116" s="5">
        <v>2082110000</v>
      </c>
    </row>
    <row r="117" spans="2:7" hidden="1" x14ac:dyDescent="0.25">
      <c r="B117" s="2" t="s">
        <v>121</v>
      </c>
      <c r="C117" s="5"/>
      <c r="D117" s="5"/>
      <c r="E117" s="5"/>
      <c r="F117" s="15"/>
      <c r="G117" s="5"/>
    </row>
    <row r="118" spans="2:7" x14ac:dyDescent="0.25">
      <c r="B118" s="5" t="str">
        <f>G118&amp;D118</f>
        <v>2091200000111101</v>
      </c>
      <c r="C118" s="5" t="s">
        <v>89</v>
      </c>
      <c r="D118" s="5">
        <v>111101</v>
      </c>
      <c r="E118" s="5" t="s">
        <v>1</v>
      </c>
      <c r="F118" s="15">
        <v>496748.70000000007</v>
      </c>
      <c r="G118" s="5">
        <v>2091200000</v>
      </c>
    </row>
    <row r="119" spans="2:7" hidden="1" x14ac:dyDescent="0.25">
      <c r="B119" s="2" t="s">
        <v>121</v>
      </c>
      <c r="C119" s="5"/>
      <c r="D119" s="5"/>
      <c r="E119" s="5"/>
      <c r="F119" s="15"/>
      <c r="G119" s="5"/>
    </row>
    <row r="120" spans="2:7" x14ac:dyDescent="0.25">
      <c r="B120" s="5" t="str">
        <f>G120&amp;D120</f>
        <v>2091200001111101</v>
      </c>
      <c r="C120" s="5" t="s">
        <v>90</v>
      </c>
      <c r="D120" s="5">
        <v>111101</v>
      </c>
      <c r="E120" s="5" t="s">
        <v>1</v>
      </c>
      <c r="F120" s="15">
        <v>480872.96000000002</v>
      </c>
      <c r="G120" s="5">
        <v>2091200001</v>
      </c>
    </row>
    <row r="121" spans="2:7" hidden="1" x14ac:dyDescent="0.25">
      <c r="B121" s="2" t="s">
        <v>121</v>
      </c>
      <c r="C121" s="5"/>
      <c r="D121" s="5"/>
      <c r="E121" s="5"/>
      <c r="F121" s="15"/>
      <c r="G121" s="5"/>
    </row>
    <row r="122" spans="2:7" x14ac:dyDescent="0.25">
      <c r="B122" s="5" t="str">
        <f>G122&amp;D122</f>
        <v>2091900000111101</v>
      </c>
      <c r="C122" s="5" t="s">
        <v>23</v>
      </c>
      <c r="D122" s="5">
        <v>111101</v>
      </c>
      <c r="E122" s="5" t="s">
        <v>1</v>
      </c>
      <c r="F122" s="15">
        <v>0</v>
      </c>
      <c r="G122" s="5">
        <v>2091900000</v>
      </c>
    </row>
    <row r="123" spans="2:7" hidden="1" x14ac:dyDescent="0.25">
      <c r="B123" s="2" t="s">
        <v>121</v>
      </c>
      <c r="C123" s="5"/>
      <c r="D123" s="5"/>
      <c r="E123" s="5"/>
      <c r="F123" s="15"/>
      <c r="G123" s="5"/>
    </row>
    <row r="124" spans="2:7" x14ac:dyDescent="0.25">
      <c r="B124" s="5" t="str">
        <f>G124&amp;D124</f>
        <v>2092200000111101</v>
      </c>
      <c r="C124" s="5" t="s">
        <v>91</v>
      </c>
      <c r="D124" s="5">
        <v>111101</v>
      </c>
      <c r="E124" s="5" t="s">
        <v>1</v>
      </c>
      <c r="F124" s="15">
        <v>6570.3050000000003</v>
      </c>
      <c r="G124" s="5">
        <v>2092200000</v>
      </c>
    </row>
    <row r="125" spans="2:7" hidden="1" x14ac:dyDescent="0.25">
      <c r="B125" s="2" t="s">
        <v>121</v>
      </c>
      <c r="C125" s="5"/>
      <c r="D125" s="5"/>
      <c r="E125" s="5"/>
      <c r="F125" s="15"/>
      <c r="G125" s="5"/>
    </row>
    <row r="126" spans="2:7" x14ac:dyDescent="0.25">
      <c r="B126" s="16" t="str">
        <f>G126&amp;D126</f>
        <v>2111111999111101</v>
      </c>
      <c r="C126" s="16" t="s">
        <v>64</v>
      </c>
      <c r="D126" s="16">
        <v>111101</v>
      </c>
      <c r="E126" s="16" t="s">
        <v>1</v>
      </c>
      <c r="F126" s="17">
        <v>6073808.1600000001</v>
      </c>
      <c r="G126" s="16">
        <v>2111111999</v>
      </c>
    </row>
    <row r="127" spans="2:7" x14ac:dyDescent="0.25">
      <c r="D127" s="5"/>
    </row>
    <row r="128" spans="2:7" x14ac:dyDescent="0.25">
      <c r="D128" s="5"/>
    </row>
    <row r="129" spans="4:4" x14ac:dyDescent="0.25">
      <c r="D129" s="5"/>
    </row>
    <row r="130" spans="4:4" x14ac:dyDescent="0.25">
      <c r="D130" s="5"/>
    </row>
    <row r="131" spans="4:4" x14ac:dyDescent="0.25">
      <c r="D131" s="5"/>
    </row>
    <row r="132" spans="4:4" x14ac:dyDescent="0.25">
      <c r="D132" s="5"/>
    </row>
    <row r="133" spans="4:4" x14ac:dyDescent="0.25">
      <c r="D133" s="5"/>
    </row>
    <row r="134" spans="4:4" x14ac:dyDescent="0.25">
      <c r="D134" s="5"/>
    </row>
    <row r="135" spans="4:4" x14ac:dyDescent="0.25">
      <c r="D135" s="5"/>
    </row>
    <row r="136" spans="4:4" x14ac:dyDescent="0.25">
      <c r="D136" s="5"/>
    </row>
    <row r="137" spans="4:4" x14ac:dyDescent="0.25">
      <c r="D137" s="5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4:4" x14ac:dyDescent="0.25">
      <c r="D145" s="5"/>
    </row>
    <row r="146" spans="4:4" x14ac:dyDescent="0.25">
      <c r="D146" s="5"/>
    </row>
    <row r="147" spans="4:4" x14ac:dyDescent="0.25">
      <c r="D147" s="5"/>
    </row>
    <row r="148" spans="4:4" x14ac:dyDescent="0.25">
      <c r="D148" s="5"/>
    </row>
    <row r="149" spans="4:4" x14ac:dyDescent="0.25">
      <c r="D149" s="5"/>
    </row>
    <row r="150" spans="4:4" x14ac:dyDescent="0.25">
      <c r="D150" s="5"/>
    </row>
    <row r="151" spans="4:4" x14ac:dyDescent="0.25">
      <c r="D151" s="5"/>
    </row>
    <row r="152" spans="4:4" x14ac:dyDescent="0.25">
      <c r="D152" s="5"/>
    </row>
    <row r="153" spans="4:4" x14ac:dyDescent="0.25">
      <c r="D153" s="5"/>
    </row>
    <row r="154" spans="4:4" x14ac:dyDescent="0.25">
      <c r="D154" s="5"/>
    </row>
    <row r="155" spans="4:4" x14ac:dyDescent="0.25">
      <c r="D155" s="5"/>
    </row>
    <row r="156" spans="4:4" x14ac:dyDescent="0.25">
      <c r="D156" s="5"/>
    </row>
    <row r="157" spans="4:4" x14ac:dyDescent="0.25">
      <c r="D157" s="5"/>
    </row>
    <row r="158" spans="4:4" x14ac:dyDescent="0.25">
      <c r="D158" s="5"/>
    </row>
    <row r="159" spans="4:4" x14ac:dyDescent="0.25">
      <c r="D159" s="5"/>
    </row>
    <row r="160" spans="4:4" x14ac:dyDescent="0.25">
      <c r="D160" s="5"/>
    </row>
    <row r="161" spans="4:4" x14ac:dyDescent="0.25">
      <c r="D161" s="5"/>
    </row>
    <row r="162" spans="4:4" x14ac:dyDescent="0.25">
      <c r="D162" s="5"/>
    </row>
    <row r="163" spans="4:4" x14ac:dyDescent="0.25">
      <c r="D163" s="5"/>
    </row>
    <row r="164" spans="4:4" x14ac:dyDescent="0.25">
      <c r="D164" s="5"/>
    </row>
    <row r="165" spans="4:4" x14ac:dyDescent="0.25">
      <c r="D165" s="5"/>
    </row>
    <row r="166" spans="4:4" x14ac:dyDescent="0.25">
      <c r="D166" s="5"/>
    </row>
    <row r="167" spans="4:4" x14ac:dyDescent="0.25">
      <c r="D167" s="5"/>
    </row>
    <row r="168" spans="4:4" x14ac:dyDescent="0.25">
      <c r="D168" s="5"/>
    </row>
    <row r="169" spans="4:4" x14ac:dyDescent="0.25">
      <c r="D169" s="5"/>
    </row>
  </sheetData>
  <autoFilter ref="B3:G126" xr:uid="{00000000-0001-0000-0400-000000000000}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filterMode="1"/>
  <dimension ref="B1:G153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08984375" defaultRowHeight="11.5" x14ac:dyDescent="0.25"/>
  <cols>
    <col min="1" max="1" width="2" style="2" customWidth="1"/>
    <col min="2" max="2" width="22.1796875" style="2" customWidth="1"/>
    <col min="3" max="3" width="29.54296875" style="2" customWidth="1"/>
    <col min="4" max="4" width="22.08984375" style="2" customWidth="1"/>
    <col min="5" max="5" width="30.90625" style="2" bestFit="1" customWidth="1"/>
    <col min="6" max="6" width="11.54296875" style="2" bestFit="1" customWidth="1"/>
    <col min="7" max="7" width="12" style="2" bestFit="1" customWidth="1"/>
    <col min="8" max="8" width="17.453125" style="2" customWidth="1"/>
    <col min="9" max="16384" width="9.08984375" style="2"/>
  </cols>
  <sheetData>
    <row r="1" spans="2:7" ht="15.5" x14ac:dyDescent="0.35">
      <c r="B1" s="33" t="s">
        <v>110</v>
      </c>
    </row>
    <row r="3" spans="2:7" ht="12" thickBot="1" x14ac:dyDescent="0.3">
      <c r="B3" s="36" t="s">
        <v>115</v>
      </c>
      <c r="C3" s="36" t="s">
        <v>117</v>
      </c>
      <c r="D3" s="36" t="s">
        <v>0</v>
      </c>
      <c r="E3" s="36" t="s">
        <v>112</v>
      </c>
      <c r="F3" s="36" t="s">
        <v>119</v>
      </c>
      <c r="G3" s="36" t="s">
        <v>122</v>
      </c>
    </row>
    <row r="4" spans="2:7" x14ac:dyDescent="0.25">
      <c r="B4" s="2" t="str">
        <f>G4&amp;D4</f>
        <v>2001110000105</v>
      </c>
      <c r="C4" s="5" t="s">
        <v>65</v>
      </c>
      <c r="D4" s="5">
        <v>105</v>
      </c>
      <c r="E4" s="5" t="s">
        <v>33</v>
      </c>
      <c r="F4" s="18">
        <v>-616462.01899999997</v>
      </c>
      <c r="G4" s="5">
        <v>2001110000</v>
      </c>
    </row>
    <row r="5" spans="2:7" x14ac:dyDescent="0.25">
      <c r="B5" s="2" t="str">
        <f>G5&amp;D5</f>
        <v>2001110000111111</v>
      </c>
      <c r="C5" s="2" t="s">
        <v>65</v>
      </c>
      <c r="D5" s="5">
        <v>111111</v>
      </c>
      <c r="E5" s="2" t="s">
        <v>99</v>
      </c>
      <c r="F5" s="19">
        <v>-14431341</v>
      </c>
      <c r="G5" s="5">
        <v>2001110000</v>
      </c>
    </row>
    <row r="6" spans="2:7" hidden="1" x14ac:dyDescent="0.25">
      <c r="B6" s="2" t="s">
        <v>121</v>
      </c>
      <c r="D6" s="5"/>
      <c r="F6" s="19"/>
      <c r="G6" s="5"/>
    </row>
    <row r="7" spans="2:7" x14ac:dyDescent="0.25">
      <c r="B7" s="2" t="str">
        <f>G7&amp;D7</f>
        <v>2001190000111111</v>
      </c>
      <c r="C7" s="5" t="s">
        <v>66</v>
      </c>
      <c r="D7" s="5">
        <v>111111</v>
      </c>
      <c r="E7" s="5" t="s">
        <v>99</v>
      </c>
      <c r="F7" s="15">
        <v>-6373617.5140000004</v>
      </c>
      <c r="G7" s="5">
        <v>2001190000</v>
      </c>
    </row>
    <row r="8" spans="2:7" hidden="1" x14ac:dyDescent="0.25">
      <c r="B8" s="2" t="s">
        <v>121</v>
      </c>
      <c r="D8" s="5"/>
      <c r="F8" s="19"/>
      <c r="G8" s="5"/>
    </row>
    <row r="9" spans="2:7" x14ac:dyDescent="0.25">
      <c r="B9" s="2" t="str">
        <f>G9&amp;D9</f>
        <v>2021210000111111</v>
      </c>
      <c r="C9" s="5" t="s">
        <v>103</v>
      </c>
      <c r="D9" s="5">
        <v>111111</v>
      </c>
      <c r="E9" s="5" t="s">
        <v>99</v>
      </c>
      <c r="F9" s="15">
        <v>20504.509999999998</v>
      </c>
      <c r="G9" s="5">
        <v>2021210000</v>
      </c>
    </row>
    <row r="10" spans="2:7" hidden="1" x14ac:dyDescent="0.25">
      <c r="B10" s="2" t="s">
        <v>121</v>
      </c>
      <c r="D10" s="5"/>
      <c r="F10" s="19"/>
      <c r="G10" s="5"/>
    </row>
    <row r="11" spans="2:7" x14ac:dyDescent="0.25">
      <c r="B11" s="2" t="str">
        <f>G11&amp;D11</f>
        <v>2021900000111111</v>
      </c>
      <c r="C11" s="5" t="s">
        <v>100</v>
      </c>
      <c r="D11" s="5">
        <v>111111</v>
      </c>
      <c r="E11" s="5" t="s">
        <v>99</v>
      </c>
      <c r="F11" s="15">
        <v>5674152.0669999998</v>
      </c>
      <c r="G11" s="5">
        <v>2021900000</v>
      </c>
    </row>
    <row r="12" spans="2:7" hidden="1" x14ac:dyDescent="0.25">
      <c r="B12" s="2" t="s">
        <v>121</v>
      </c>
      <c r="D12" s="5"/>
      <c r="F12" s="19"/>
      <c r="G12" s="5"/>
    </row>
    <row r="13" spans="2:7" x14ac:dyDescent="0.25">
      <c r="B13" s="2" t="str">
        <f>G13&amp;D13</f>
        <v>2024020000111111</v>
      </c>
      <c r="C13" s="5" t="s">
        <v>24</v>
      </c>
      <c r="D13" s="5">
        <v>111111</v>
      </c>
      <c r="E13" s="5" t="s">
        <v>99</v>
      </c>
      <c r="F13" s="15">
        <v>13691.949999999999</v>
      </c>
      <c r="G13" s="5">
        <v>2024020000</v>
      </c>
    </row>
    <row r="14" spans="2:7" hidden="1" x14ac:dyDescent="0.25">
      <c r="B14" s="2" t="s">
        <v>121</v>
      </c>
      <c r="D14" s="5"/>
      <c r="F14" s="19"/>
      <c r="G14" s="5"/>
    </row>
    <row r="15" spans="2:7" x14ac:dyDescent="0.25">
      <c r="B15" s="2" t="str">
        <f>G15&amp;D15</f>
        <v>2024080000111111</v>
      </c>
      <c r="C15" s="5" t="s">
        <v>69</v>
      </c>
      <c r="D15" s="5">
        <v>111111</v>
      </c>
      <c r="E15" s="5" t="s">
        <v>99</v>
      </c>
      <c r="F15" s="15">
        <v>350370.99399999995</v>
      </c>
      <c r="G15" s="5">
        <v>2024080000</v>
      </c>
    </row>
    <row r="16" spans="2:7" hidden="1" x14ac:dyDescent="0.25">
      <c r="B16" s="2" t="s">
        <v>121</v>
      </c>
      <c r="D16" s="5"/>
      <c r="F16" s="19"/>
      <c r="G16" s="5"/>
    </row>
    <row r="17" spans="2:7" x14ac:dyDescent="0.25">
      <c r="B17" s="2" t="str">
        <f>G17&amp;D17</f>
        <v>202409000088</v>
      </c>
      <c r="C17" s="5" t="s">
        <v>68</v>
      </c>
      <c r="D17" s="5">
        <v>88</v>
      </c>
      <c r="E17" s="5" t="s">
        <v>32</v>
      </c>
      <c r="F17" s="15">
        <v>3116017.1540000001</v>
      </c>
      <c r="G17" s="5">
        <v>2024090000</v>
      </c>
    </row>
    <row r="18" spans="2:7" x14ac:dyDescent="0.25">
      <c r="B18" s="2" t="str">
        <f>G18&amp;D18</f>
        <v>20240900001283</v>
      </c>
      <c r="C18" s="5" t="s">
        <v>68</v>
      </c>
      <c r="D18" s="5" t="s">
        <v>11</v>
      </c>
      <c r="E18" s="5" t="s">
        <v>34</v>
      </c>
      <c r="F18" s="15">
        <v>0</v>
      </c>
      <c r="G18" s="5">
        <v>2024090000</v>
      </c>
    </row>
    <row r="19" spans="2:7" x14ac:dyDescent="0.25">
      <c r="B19" s="2" t="str">
        <f>G19&amp;D19</f>
        <v>20240900001924</v>
      </c>
      <c r="C19" s="5" t="s">
        <v>68</v>
      </c>
      <c r="D19" s="5" t="s">
        <v>12</v>
      </c>
      <c r="E19" s="5" t="s">
        <v>36</v>
      </c>
      <c r="F19" s="15">
        <v>673.34299999999985</v>
      </c>
      <c r="G19" s="5">
        <v>2024090000</v>
      </c>
    </row>
    <row r="20" spans="2:7" x14ac:dyDescent="0.25">
      <c r="B20" s="2" t="str">
        <f>G20&amp;D20</f>
        <v>20240900002185</v>
      </c>
      <c r="C20" s="5" t="s">
        <v>68</v>
      </c>
      <c r="D20" s="5" t="s">
        <v>25</v>
      </c>
      <c r="E20" s="5" t="s">
        <v>48</v>
      </c>
      <c r="F20" s="15">
        <v>192017.14499999996</v>
      </c>
      <c r="G20" s="5">
        <v>2024090000</v>
      </c>
    </row>
    <row r="21" spans="2:7" x14ac:dyDescent="0.25">
      <c r="B21" s="2" t="str">
        <f>G21&amp;D21</f>
        <v>20240900002240</v>
      </c>
      <c r="C21" s="5" t="s">
        <v>68</v>
      </c>
      <c r="D21" s="5" t="s">
        <v>6</v>
      </c>
      <c r="E21" s="5" t="s">
        <v>43</v>
      </c>
      <c r="F21" s="15">
        <v>375290.46599999996</v>
      </c>
      <c r="G21" s="5">
        <v>2024090000</v>
      </c>
    </row>
    <row r="22" spans="2:7" x14ac:dyDescent="0.25">
      <c r="B22" s="2" t="str">
        <f>G22&amp;D22</f>
        <v>202409000017000</v>
      </c>
      <c r="C22" s="5" t="s">
        <v>68</v>
      </c>
      <c r="D22" s="5">
        <v>17000</v>
      </c>
      <c r="E22" s="5" t="s">
        <v>50</v>
      </c>
      <c r="F22" s="15">
        <v>4920</v>
      </c>
      <c r="G22" s="5">
        <v>2024090000</v>
      </c>
    </row>
    <row r="23" spans="2:7" x14ac:dyDescent="0.25">
      <c r="B23" s="2" t="str">
        <f>G23&amp;D23</f>
        <v>2024090000111111</v>
      </c>
      <c r="C23" s="5" t="s">
        <v>68</v>
      </c>
      <c r="D23" s="5">
        <v>111111</v>
      </c>
      <c r="E23" s="5" t="s">
        <v>99</v>
      </c>
      <c r="F23" s="15">
        <v>9783.7069999999985</v>
      </c>
      <c r="G23" s="5">
        <v>2024090000</v>
      </c>
    </row>
    <row r="24" spans="2:7" hidden="1" x14ac:dyDescent="0.25">
      <c r="B24" s="2" t="s">
        <v>121</v>
      </c>
      <c r="D24" s="5"/>
      <c r="F24" s="19"/>
      <c r="G24" s="5"/>
    </row>
    <row r="25" spans="2:7" x14ac:dyDescent="0.25">
      <c r="B25" s="2" t="str">
        <f>G25&amp;D25</f>
        <v>2041000000111111</v>
      </c>
      <c r="C25" s="5" t="s">
        <v>2</v>
      </c>
      <c r="D25" s="5">
        <v>111111</v>
      </c>
      <c r="E25" s="5" t="s">
        <v>99</v>
      </c>
      <c r="F25" s="15">
        <v>3982699.5329999998</v>
      </c>
      <c r="G25" s="5">
        <v>2041000000</v>
      </c>
    </row>
    <row r="26" spans="2:7" hidden="1" x14ac:dyDescent="0.25">
      <c r="B26" s="2" t="s">
        <v>121</v>
      </c>
      <c r="D26" s="5"/>
      <c r="F26" s="19"/>
      <c r="G26" s="5"/>
    </row>
    <row r="27" spans="2:7" x14ac:dyDescent="0.25">
      <c r="B27" s="2" t="str">
        <f>G27&amp;D27</f>
        <v>2042000000111101</v>
      </c>
      <c r="C27" s="5" t="s">
        <v>3</v>
      </c>
      <c r="D27" s="5">
        <v>111101</v>
      </c>
      <c r="E27" s="5" t="s">
        <v>1</v>
      </c>
      <c r="F27" s="15">
        <v>1420796.8209999998</v>
      </c>
      <c r="G27" s="5">
        <v>2042000000</v>
      </c>
    </row>
    <row r="28" spans="2:7" x14ac:dyDescent="0.25">
      <c r="B28" s="2" t="str">
        <f>G28&amp;D28</f>
        <v>2042000000111101</v>
      </c>
      <c r="C28" s="5" t="s">
        <v>70</v>
      </c>
      <c r="D28" s="5">
        <v>111101</v>
      </c>
      <c r="E28" s="5" t="s">
        <v>1</v>
      </c>
      <c r="F28" s="15">
        <v>288891.82199999999</v>
      </c>
      <c r="G28" s="5">
        <v>2042000000</v>
      </c>
    </row>
    <row r="29" spans="2:7" hidden="1" x14ac:dyDescent="0.25">
      <c r="B29" s="2" t="s">
        <v>121</v>
      </c>
      <c r="D29" s="5"/>
      <c r="F29" s="19"/>
      <c r="G29" s="5"/>
    </row>
    <row r="30" spans="2:7" x14ac:dyDescent="0.25">
      <c r="B30" s="2" t="str">
        <f>G30&amp;D30</f>
        <v>2045000000111101</v>
      </c>
      <c r="C30" s="5" t="s">
        <v>71</v>
      </c>
      <c r="D30" s="5">
        <v>111101</v>
      </c>
      <c r="E30" s="5" t="s">
        <v>1</v>
      </c>
      <c r="F30" s="15">
        <v>143500</v>
      </c>
      <c r="G30" s="5">
        <v>2045000000</v>
      </c>
    </row>
    <row r="31" spans="2:7" hidden="1" x14ac:dyDescent="0.25">
      <c r="B31" s="2" t="s">
        <v>121</v>
      </c>
      <c r="D31" s="5"/>
      <c r="F31" s="19"/>
      <c r="G31" s="5"/>
    </row>
    <row r="32" spans="2:7" x14ac:dyDescent="0.25">
      <c r="B32" s="2" t="str">
        <f>G32&amp;D32</f>
        <v>2051210000111101</v>
      </c>
      <c r="C32" s="5" t="s">
        <v>72</v>
      </c>
      <c r="D32" s="5">
        <v>111101</v>
      </c>
      <c r="E32" s="5" t="s">
        <v>1</v>
      </c>
      <c r="F32" s="15">
        <v>1875768.159</v>
      </c>
      <c r="G32" s="5">
        <v>2051210000</v>
      </c>
    </row>
    <row r="33" spans="2:7" hidden="1" x14ac:dyDescent="0.25">
      <c r="B33" s="2" t="s">
        <v>121</v>
      </c>
      <c r="D33" s="5"/>
      <c r="F33" s="19"/>
      <c r="G33" s="5"/>
    </row>
    <row r="34" spans="2:7" x14ac:dyDescent="0.25">
      <c r="B34" s="2" t="str">
        <f>G34&amp;D34</f>
        <v>2051260000111101</v>
      </c>
      <c r="C34" s="5" t="s">
        <v>72</v>
      </c>
      <c r="D34" s="5">
        <v>111101</v>
      </c>
      <c r="E34" s="5" t="s">
        <v>1</v>
      </c>
      <c r="F34" s="15">
        <v>12593.355</v>
      </c>
      <c r="G34" s="5">
        <v>2051260000</v>
      </c>
    </row>
    <row r="35" spans="2:7" hidden="1" x14ac:dyDescent="0.25">
      <c r="B35" s="2" t="s">
        <v>121</v>
      </c>
      <c r="D35" s="5"/>
      <c r="F35" s="19"/>
      <c r="G35" s="5"/>
    </row>
    <row r="36" spans="2:7" x14ac:dyDescent="0.25">
      <c r="B36" s="2" t="str">
        <f>G36&amp;D36</f>
        <v>20604410001118</v>
      </c>
      <c r="C36" s="5" t="s">
        <v>21</v>
      </c>
      <c r="D36" s="5" t="s">
        <v>19</v>
      </c>
      <c r="E36" s="5" t="s">
        <v>55</v>
      </c>
      <c r="F36" s="15">
        <v>0</v>
      </c>
      <c r="G36" s="5">
        <v>2060441000</v>
      </c>
    </row>
    <row r="37" spans="2:7" x14ac:dyDescent="0.25">
      <c r="B37" s="2" t="str">
        <f>G37&amp;D37</f>
        <v>2060441000111111</v>
      </c>
      <c r="C37" s="5" t="s">
        <v>21</v>
      </c>
      <c r="D37" s="5">
        <v>111111</v>
      </c>
      <c r="E37" s="5" t="s">
        <v>99</v>
      </c>
      <c r="F37" s="15">
        <v>-1252.8369999999998</v>
      </c>
      <c r="G37" s="5">
        <v>2060441000</v>
      </c>
    </row>
    <row r="38" spans="2:7" hidden="1" x14ac:dyDescent="0.25">
      <c r="B38" s="2" t="s">
        <v>121</v>
      </c>
      <c r="D38" s="5"/>
      <c r="F38" s="19"/>
      <c r="G38" s="5"/>
    </row>
    <row r="39" spans="2:7" x14ac:dyDescent="0.25">
      <c r="B39" s="2" t="str">
        <f>G39&amp;D39</f>
        <v>20690100001</v>
      </c>
      <c r="C39" s="5" t="s">
        <v>73</v>
      </c>
      <c r="D39" s="5" t="s">
        <v>4</v>
      </c>
      <c r="E39" s="5" t="s">
        <v>40</v>
      </c>
      <c r="F39" s="15">
        <v>-1418521.358</v>
      </c>
      <c r="G39" s="5">
        <v>2069010000</v>
      </c>
    </row>
    <row r="40" spans="2:7" x14ac:dyDescent="0.25">
      <c r="B40" s="2" t="str">
        <f>G40&amp;D40</f>
        <v>206901000019</v>
      </c>
      <c r="C40" s="5" t="s">
        <v>73</v>
      </c>
      <c r="D40" s="5">
        <v>19</v>
      </c>
      <c r="E40" s="5" t="s">
        <v>41</v>
      </c>
      <c r="F40" s="15">
        <v>-622966.38600000006</v>
      </c>
      <c r="G40" s="5">
        <v>2069010000</v>
      </c>
    </row>
    <row r="41" spans="2:7" x14ac:dyDescent="0.25">
      <c r="B41" s="2" t="str">
        <f>G41&amp;D41</f>
        <v>20690100001076</v>
      </c>
      <c r="C41" s="5" t="s">
        <v>73</v>
      </c>
      <c r="D41" s="5" t="s">
        <v>16</v>
      </c>
      <c r="E41" s="5" t="s">
        <v>51</v>
      </c>
      <c r="F41" s="15">
        <v>0</v>
      </c>
      <c r="G41" s="5">
        <v>2069010000</v>
      </c>
    </row>
    <row r="42" spans="2:7" x14ac:dyDescent="0.25">
      <c r="B42" s="2" t="str">
        <f>G42&amp;D42</f>
        <v>20690100001086</v>
      </c>
      <c r="C42" s="5" t="s">
        <v>73</v>
      </c>
      <c r="D42" s="5" t="s">
        <v>10</v>
      </c>
      <c r="E42" s="5" t="s">
        <v>47</v>
      </c>
      <c r="F42" s="15">
        <v>0</v>
      </c>
      <c r="G42" s="5">
        <v>2069010000</v>
      </c>
    </row>
    <row r="43" spans="2:7" x14ac:dyDescent="0.25">
      <c r="B43" s="2" t="str">
        <f>G43&amp;D43</f>
        <v>20690100001009</v>
      </c>
      <c r="C43" s="5" t="s">
        <v>73</v>
      </c>
      <c r="D43" s="5">
        <v>1009</v>
      </c>
      <c r="E43" s="5" t="s">
        <v>35</v>
      </c>
      <c r="F43" s="15">
        <v>0</v>
      </c>
      <c r="G43" s="5">
        <v>2069010000</v>
      </c>
    </row>
    <row r="44" spans="2:7" x14ac:dyDescent="0.25">
      <c r="B44" s="2" t="str">
        <f>G44&amp;D44</f>
        <v>20690100001007</v>
      </c>
      <c r="C44" s="5" t="s">
        <v>73</v>
      </c>
      <c r="D44" s="5">
        <v>1007</v>
      </c>
      <c r="E44" s="5" t="s">
        <v>37</v>
      </c>
      <c r="F44" s="15">
        <v>0</v>
      </c>
      <c r="G44" s="5">
        <v>2069010000</v>
      </c>
    </row>
    <row r="45" spans="2:7" x14ac:dyDescent="0.25">
      <c r="B45" s="2" t="str">
        <f>G45&amp;D45</f>
        <v>20690100001008</v>
      </c>
      <c r="C45" s="5" t="s">
        <v>73</v>
      </c>
      <c r="D45" s="5">
        <v>1008</v>
      </c>
      <c r="E45" s="5" t="s">
        <v>39</v>
      </c>
      <c r="F45" s="15">
        <v>0</v>
      </c>
      <c r="G45" s="5">
        <v>2069010000</v>
      </c>
    </row>
    <row r="46" spans="2:7" x14ac:dyDescent="0.25">
      <c r="B46" s="2" t="str">
        <f>G46&amp;D46</f>
        <v>20690100001240</v>
      </c>
      <c r="C46" s="5" t="s">
        <v>73</v>
      </c>
      <c r="D46" s="5">
        <v>1240</v>
      </c>
      <c r="E46" s="5" t="s">
        <v>44</v>
      </c>
      <c r="F46" s="15">
        <v>0</v>
      </c>
      <c r="G46" s="5">
        <v>2069010000</v>
      </c>
    </row>
    <row r="47" spans="2:7" x14ac:dyDescent="0.25">
      <c r="B47" s="2" t="str">
        <f>G47&amp;D47</f>
        <v>20690100001006</v>
      </c>
      <c r="C47" s="5" t="s">
        <v>73</v>
      </c>
      <c r="D47" s="5">
        <v>1006</v>
      </c>
      <c r="E47" s="5" t="s">
        <v>54</v>
      </c>
      <c r="F47" s="15">
        <v>0</v>
      </c>
      <c r="G47" s="5">
        <v>2069010000</v>
      </c>
    </row>
    <row r="48" spans="2:7" x14ac:dyDescent="0.25">
      <c r="B48" s="2" t="str">
        <f>G48&amp;D48</f>
        <v>20690100001007</v>
      </c>
      <c r="C48" s="5" t="s">
        <v>73</v>
      </c>
      <c r="D48" s="5">
        <v>1007</v>
      </c>
      <c r="E48" s="5" t="s">
        <v>38</v>
      </c>
      <c r="F48" s="15">
        <v>0</v>
      </c>
      <c r="G48" s="5">
        <v>2069010000</v>
      </c>
    </row>
    <row r="49" spans="2:7" x14ac:dyDescent="0.25">
      <c r="B49" s="2" t="str">
        <f>G49&amp;D49</f>
        <v>206901000047037</v>
      </c>
      <c r="C49" s="5" t="s">
        <v>73</v>
      </c>
      <c r="D49" s="5" t="s">
        <v>17</v>
      </c>
      <c r="E49" s="5" t="s">
        <v>52</v>
      </c>
      <c r="F49" s="15">
        <v>-1948832.1429999999</v>
      </c>
      <c r="G49" s="5">
        <v>2069010000</v>
      </c>
    </row>
    <row r="50" spans="2:7" x14ac:dyDescent="0.25">
      <c r="B50" s="2" t="str">
        <f>G50&amp;D50</f>
        <v>2069010000111111</v>
      </c>
      <c r="C50" s="5" t="s">
        <v>73</v>
      </c>
      <c r="D50" s="5">
        <v>111111</v>
      </c>
      <c r="E50" s="5" t="s">
        <v>99</v>
      </c>
      <c r="F50" s="15">
        <v>-902857.84299999999</v>
      </c>
      <c r="G50" s="5">
        <v>2069010000</v>
      </c>
    </row>
    <row r="51" spans="2:7" hidden="1" x14ac:dyDescent="0.25">
      <c r="B51" s="2" t="s">
        <v>121</v>
      </c>
      <c r="D51" s="5"/>
      <c r="F51" s="19"/>
      <c r="G51" s="5"/>
    </row>
    <row r="52" spans="2:7" x14ac:dyDescent="0.25">
      <c r="B52" s="2" t="str">
        <f>G52&amp;D52</f>
        <v>2069020000111111</v>
      </c>
      <c r="C52" s="5" t="s">
        <v>26</v>
      </c>
      <c r="D52" s="5">
        <v>111111</v>
      </c>
      <c r="E52" s="5" t="s">
        <v>99</v>
      </c>
      <c r="F52" s="15">
        <v>-61499.999999999993</v>
      </c>
      <c r="G52" s="5">
        <v>2069020000</v>
      </c>
    </row>
    <row r="53" spans="2:7" hidden="1" x14ac:dyDescent="0.25">
      <c r="B53" s="2" t="s">
        <v>121</v>
      </c>
      <c r="D53" s="5"/>
      <c r="F53" s="19"/>
      <c r="G53" s="5"/>
    </row>
    <row r="54" spans="2:7" x14ac:dyDescent="0.25">
      <c r="B54" s="2" t="str">
        <f>G54&amp;D54</f>
        <v>2069980000105</v>
      </c>
      <c r="C54" s="5" t="s">
        <v>74</v>
      </c>
      <c r="D54" s="5">
        <v>105</v>
      </c>
      <c r="E54" s="5" t="s">
        <v>33</v>
      </c>
      <c r="F54" s="15">
        <v>-30913.425999999996</v>
      </c>
      <c r="G54" s="5">
        <v>2069980000</v>
      </c>
    </row>
    <row r="55" spans="2:7" x14ac:dyDescent="0.25">
      <c r="B55" s="2" t="str">
        <f>G55&amp;D55</f>
        <v>2069980000111111</v>
      </c>
      <c r="C55" s="5" t="s">
        <v>74</v>
      </c>
      <c r="D55" s="5">
        <v>111111</v>
      </c>
      <c r="E55" s="5" t="s">
        <v>99</v>
      </c>
      <c r="F55" s="15">
        <v>-15872.001999999999</v>
      </c>
      <c r="G55" s="5">
        <v>2069980000</v>
      </c>
    </row>
    <row r="56" spans="2:7" hidden="1" x14ac:dyDescent="0.25">
      <c r="B56" s="2" t="s">
        <v>121</v>
      </c>
      <c r="D56" s="5"/>
      <c r="F56" s="19"/>
      <c r="G56" s="5"/>
    </row>
    <row r="57" spans="2:7" x14ac:dyDescent="0.25">
      <c r="B57" s="2" t="str">
        <f>G57&amp;D57</f>
        <v>2070400000111111</v>
      </c>
      <c r="C57" s="5" t="s">
        <v>75</v>
      </c>
      <c r="D57" s="5">
        <v>111111</v>
      </c>
      <c r="E57" s="5" t="s">
        <v>99</v>
      </c>
      <c r="F57" s="15">
        <v>57.317999999999998</v>
      </c>
      <c r="G57" s="5">
        <v>2070400000</v>
      </c>
    </row>
    <row r="58" spans="2:7" hidden="1" x14ac:dyDescent="0.25">
      <c r="B58" s="2" t="s">
        <v>121</v>
      </c>
      <c r="D58" s="5"/>
      <c r="F58" s="19"/>
      <c r="G58" s="5"/>
    </row>
    <row r="59" spans="2:7" x14ac:dyDescent="0.25">
      <c r="B59" s="2" t="str">
        <f>G59&amp;D59</f>
        <v>2070500000111111</v>
      </c>
      <c r="C59" s="5" t="s">
        <v>76</v>
      </c>
      <c r="D59" s="5">
        <v>111111</v>
      </c>
      <c r="E59" s="5" t="s">
        <v>99</v>
      </c>
      <c r="F59" s="15">
        <v>19198.66</v>
      </c>
      <c r="G59" s="5">
        <v>2070500000</v>
      </c>
    </row>
    <row r="60" spans="2:7" hidden="1" x14ac:dyDescent="0.25">
      <c r="B60" s="2" t="s">
        <v>121</v>
      </c>
      <c r="D60" s="5"/>
      <c r="F60" s="19"/>
      <c r="G60" s="5"/>
    </row>
    <row r="61" spans="2:7" x14ac:dyDescent="0.25">
      <c r="B61" s="2" t="str">
        <f>G61&amp;D61</f>
        <v>2070600000105</v>
      </c>
      <c r="C61" s="5" t="s">
        <v>77</v>
      </c>
      <c r="D61" s="5">
        <v>105</v>
      </c>
      <c r="E61" s="5" t="s">
        <v>33</v>
      </c>
      <c r="F61" s="15">
        <v>-1423120</v>
      </c>
      <c r="G61" s="5">
        <v>2070600000</v>
      </c>
    </row>
    <row r="62" spans="2:7" x14ac:dyDescent="0.25">
      <c r="B62" s="2" t="str">
        <f>G62&amp;D62</f>
        <v>2070600000111111</v>
      </c>
      <c r="C62" s="5" t="s">
        <v>77</v>
      </c>
      <c r="D62" s="5">
        <v>111111</v>
      </c>
      <c r="E62" s="5" t="s">
        <v>99</v>
      </c>
      <c r="F62" s="15">
        <v>-172933.44899999999</v>
      </c>
      <c r="G62" s="5">
        <v>2070600000</v>
      </c>
    </row>
    <row r="63" spans="2:7" hidden="1" x14ac:dyDescent="0.25">
      <c r="B63" s="2" t="s">
        <v>121</v>
      </c>
      <c r="D63" s="5"/>
      <c r="F63" s="19"/>
      <c r="G63" s="5"/>
    </row>
    <row r="64" spans="2:7" x14ac:dyDescent="0.25">
      <c r="B64" s="2" t="str">
        <f>G64&amp;D64</f>
        <v>2070900000105</v>
      </c>
      <c r="C64" s="5" t="s">
        <v>78</v>
      </c>
      <c r="D64" s="5">
        <v>105</v>
      </c>
      <c r="E64" s="5" t="s">
        <v>33</v>
      </c>
      <c r="F64" s="15">
        <v>473575.46100000001</v>
      </c>
      <c r="G64" s="5">
        <v>2070900000</v>
      </c>
    </row>
    <row r="65" spans="2:7" x14ac:dyDescent="0.25">
      <c r="B65" s="2" t="str">
        <f>G65&amp;D65</f>
        <v>2070900000111111</v>
      </c>
      <c r="C65" s="5" t="s">
        <v>78</v>
      </c>
      <c r="D65" s="5">
        <v>111111</v>
      </c>
      <c r="E65" s="5" t="s">
        <v>99</v>
      </c>
      <c r="F65" s="15">
        <v>1481408.47</v>
      </c>
      <c r="G65" s="5">
        <v>2070900000</v>
      </c>
    </row>
    <row r="66" spans="2:7" hidden="1" x14ac:dyDescent="0.25">
      <c r="B66" s="2" t="s">
        <v>121</v>
      </c>
      <c r="D66" s="5"/>
      <c r="F66" s="19"/>
      <c r="G66" s="5"/>
    </row>
    <row r="67" spans="2:7" x14ac:dyDescent="0.25">
      <c r="B67" s="2" t="str">
        <f>G67&amp;D67</f>
        <v>2071000000111111</v>
      </c>
      <c r="C67" s="5" t="s">
        <v>7</v>
      </c>
      <c r="D67" s="5">
        <v>111111</v>
      </c>
      <c r="E67" s="5" t="s">
        <v>99</v>
      </c>
      <c r="F67" s="15">
        <v>40048.799999999996</v>
      </c>
      <c r="G67" s="5">
        <v>2071000000</v>
      </c>
    </row>
    <row r="68" spans="2:7" hidden="1" x14ac:dyDescent="0.25">
      <c r="B68" s="2" t="s">
        <v>121</v>
      </c>
      <c r="D68" s="5"/>
      <c r="F68" s="19"/>
      <c r="G68" s="5"/>
    </row>
    <row r="69" spans="2:7" x14ac:dyDescent="0.25">
      <c r="B69" s="2" t="str">
        <f>G69&amp;D69</f>
        <v>207110000088</v>
      </c>
      <c r="C69" s="5" t="s">
        <v>79</v>
      </c>
      <c r="D69" s="5">
        <v>88</v>
      </c>
      <c r="E69" s="5" t="s">
        <v>32</v>
      </c>
      <c r="F69" s="15">
        <v>584.66</v>
      </c>
      <c r="G69" s="5">
        <v>2071100000</v>
      </c>
    </row>
    <row r="70" spans="2:7" x14ac:dyDescent="0.25">
      <c r="B70" s="2" t="str">
        <f>G70&amp;D70</f>
        <v>2071100000111111</v>
      </c>
      <c r="C70" s="5" t="s">
        <v>79</v>
      </c>
      <c r="D70" s="5">
        <v>111111</v>
      </c>
      <c r="E70" s="5" t="s">
        <v>99</v>
      </c>
      <c r="F70" s="15">
        <v>64039.82699999999</v>
      </c>
      <c r="G70" s="5">
        <v>2071100000</v>
      </c>
    </row>
    <row r="71" spans="2:7" hidden="1" x14ac:dyDescent="0.25">
      <c r="B71" s="2" t="s">
        <v>121</v>
      </c>
      <c r="D71" s="5"/>
      <c r="F71" s="19"/>
      <c r="G71" s="5"/>
    </row>
    <row r="72" spans="2:7" x14ac:dyDescent="0.25">
      <c r="B72" s="2" t="str">
        <f>G72&amp;D72</f>
        <v>2071209100111111</v>
      </c>
      <c r="C72" s="5" t="s">
        <v>27</v>
      </c>
      <c r="D72" s="5">
        <v>111111</v>
      </c>
      <c r="E72" s="5" t="s">
        <v>99</v>
      </c>
      <c r="F72" s="15">
        <v>1352.9999999999998</v>
      </c>
      <c r="G72" s="5">
        <v>2071209100</v>
      </c>
    </row>
    <row r="73" spans="2:7" hidden="1" x14ac:dyDescent="0.25">
      <c r="B73" s="2" t="s">
        <v>121</v>
      </c>
      <c r="D73" s="5"/>
      <c r="F73" s="19"/>
      <c r="G73" s="5"/>
    </row>
    <row r="74" spans="2:7" x14ac:dyDescent="0.25">
      <c r="B74" s="2" t="str">
        <f>G74&amp;D74</f>
        <v>2071209200111111</v>
      </c>
      <c r="C74" s="5" t="s">
        <v>8</v>
      </c>
      <c r="D74" s="5">
        <v>111111</v>
      </c>
      <c r="E74" s="5" t="s">
        <v>99</v>
      </c>
      <c r="F74" s="15">
        <v>2514431.8869999996</v>
      </c>
      <c r="G74" s="5">
        <v>2071209200</v>
      </c>
    </row>
    <row r="75" spans="2:7" hidden="1" x14ac:dyDescent="0.25">
      <c r="B75" s="2" t="s">
        <v>121</v>
      </c>
      <c r="D75" s="5"/>
      <c r="F75" s="19"/>
      <c r="G75" s="5"/>
    </row>
    <row r="76" spans="2:7" x14ac:dyDescent="0.25">
      <c r="B76" s="2" t="str">
        <f>G76&amp;D76</f>
        <v>2071209400111111</v>
      </c>
      <c r="C76" s="5" t="s">
        <v>80</v>
      </c>
      <c r="D76" s="5">
        <v>111111</v>
      </c>
      <c r="E76" s="5" t="s">
        <v>99</v>
      </c>
      <c r="F76" s="15">
        <v>4194.2999999999993</v>
      </c>
      <c r="G76" s="5">
        <v>2071209400</v>
      </c>
    </row>
    <row r="77" spans="2:7" hidden="1" x14ac:dyDescent="0.25">
      <c r="B77" s="2" t="s">
        <v>121</v>
      </c>
      <c r="D77" s="5"/>
      <c r="F77" s="19"/>
      <c r="G77" s="5"/>
    </row>
    <row r="78" spans="2:7" x14ac:dyDescent="0.25">
      <c r="B78" s="2" t="str">
        <f>G78&amp;D78</f>
        <v>2071209500111111</v>
      </c>
      <c r="C78" s="5" t="s">
        <v>81</v>
      </c>
      <c r="D78" s="5">
        <v>111111</v>
      </c>
      <c r="E78" s="5" t="s">
        <v>99</v>
      </c>
      <c r="F78" s="15">
        <v>106525.708</v>
      </c>
      <c r="G78" s="5">
        <v>2071209500</v>
      </c>
    </row>
    <row r="79" spans="2:7" hidden="1" x14ac:dyDescent="0.25">
      <c r="B79" s="2" t="s">
        <v>121</v>
      </c>
      <c r="D79" s="5"/>
      <c r="F79" s="19"/>
      <c r="G79" s="5"/>
    </row>
    <row r="80" spans="2:7" x14ac:dyDescent="0.25">
      <c r="B80" s="2" t="str">
        <f>G80&amp;D80</f>
        <v>2071980000111101</v>
      </c>
      <c r="C80" s="5" t="s">
        <v>82</v>
      </c>
      <c r="D80" s="5">
        <v>111101</v>
      </c>
      <c r="E80" s="5" t="s">
        <v>1</v>
      </c>
      <c r="F80" s="15">
        <v>109811.284</v>
      </c>
      <c r="G80" s="5">
        <v>2071980000</v>
      </c>
    </row>
    <row r="81" spans="2:7" hidden="1" x14ac:dyDescent="0.25">
      <c r="B81" s="2" t="s">
        <v>121</v>
      </c>
      <c r="D81" s="5"/>
      <c r="F81" s="19"/>
      <c r="G81" s="5"/>
    </row>
    <row r="82" spans="2:7" x14ac:dyDescent="0.25">
      <c r="B82" s="2" t="str">
        <f>G82&amp;D82</f>
        <v>2079022000111111</v>
      </c>
      <c r="C82" s="5" t="s">
        <v>83</v>
      </c>
      <c r="D82" s="5">
        <v>111111</v>
      </c>
      <c r="E82" s="5" t="s">
        <v>99</v>
      </c>
      <c r="F82" s="15">
        <v>61111.483999999997</v>
      </c>
      <c r="G82" s="5">
        <v>2079022000</v>
      </c>
    </row>
    <row r="83" spans="2:7" hidden="1" x14ac:dyDescent="0.25">
      <c r="B83" s="2" t="s">
        <v>121</v>
      </c>
      <c r="D83" s="5"/>
      <c r="F83" s="19"/>
      <c r="G83" s="5"/>
    </row>
    <row r="84" spans="2:7" x14ac:dyDescent="0.25">
      <c r="B84" s="2" t="str">
        <f>G84&amp;D84</f>
        <v>20790700001924</v>
      </c>
      <c r="C84" s="5" t="s">
        <v>84</v>
      </c>
      <c r="D84" s="5" t="s">
        <v>12</v>
      </c>
      <c r="E84" s="5" t="s">
        <v>36</v>
      </c>
      <c r="F84" s="15">
        <v>0</v>
      </c>
      <c r="G84" s="5">
        <v>2079070000</v>
      </c>
    </row>
    <row r="85" spans="2:7" x14ac:dyDescent="0.25">
      <c r="B85" s="2" t="str">
        <f>G85&amp;D85</f>
        <v>2079070000105</v>
      </c>
      <c r="C85" s="5" t="s">
        <v>84</v>
      </c>
      <c r="D85" s="5">
        <v>105</v>
      </c>
      <c r="E85" s="5" t="s">
        <v>33</v>
      </c>
      <c r="F85" s="15">
        <v>1684415.2999999998</v>
      </c>
      <c r="G85" s="5">
        <v>2079070000</v>
      </c>
    </row>
    <row r="86" spans="2:7" x14ac:dyDescent="0.25">
      <c r="B86" s="2" t="str">
        <f>G86&amp;D86</f>
        <v>2079070000111111</v>
      </c>
      <c r="C86" s="5" t="s">
        <v>84</v>
      </c>
      <c r="D86" s="5">
        <v>111111</v>
      </c>
      <c r="E86" s="5" t="s">
        <v>99</v>
      </c>
      <c r="F86" s="15">
        <v>575626.2649999999</v>
      </c>
      <c r="G86" s="5">
        <v>2079070000</v>
      </c>
    </row>
    <row r="87" spans="2:7" hidden="1" x14ac:dyDescent="0.25">
      <c r="B87" s="2" t="s">
        <v>121</v>
      </c>
      <c r="D87" s="5"/>
      <c r="F87" s="19"/>
      <c r="G87" s="5"/>
    </row>
    <row r="88" spans="2:7" x14ac:dyDescent="0.25">
      <c r="B88" s="2" t="str">
        <f>G88&amp;D88</f>
        <v>20790800001086</v>
      </c>
      <c r="C88" s="5" t="s">
        <v>85</v>
      </c>
      <c r="D88" s="5" t="s">
        <v>10</v>
      </c>
      <c r="E88" s="5" t="s">
        <v>47</v>
      </c>
      <c r="F88" s="15">
        <v>0</v>
      </c>
      <c r="G88" s="5">
        <v>2079080000</v>
      </c>
    </row>
    <row r="89" spans="2:7" x14ac:dyDescent="0.25">
      <c r="B89" s="2" t="str">
        <f>G89&amp;D89</f>
        <v>20790800001007</v>
      </c>
      <c r="C89" s="5" t="s">
        <v>85</v>
      </c>
      <c r="D89" s="5">
        <v>1007</v>
      </c>
      <c r="E89" s="5" t="s">
        <v>38</v>
      </c>
      <c r="F89" s="15">
        <v>0</v>
      </c>
      <c r="G89" s="5">
        <v>2079080000</v>
      </c>
    </row>
    <row r="90" spans="2:7" hidden="1" x14ac:dyDescent="0.25">
      <c r="B90" s="2" t="s">
        <v>121</v>
      </c>
      <c r="D90" s="5"/>
      <c r="F90" s="19"/>
      <c r="G90" s="5"/>
    </row>
    <row r="91" spans="2:7" x14ac:dyDescent="0.25">
      <c r="B91" s="2" t="str">
        <f>G91&amp;D91</f>
        <v>20822800001086</v>
      </c>
      <c r="C91" s="5" t="s">
        <v>86</v>
      </c>
      <c r="D91" s="5" t="s">
        <v>10</v>
      </c>
      <c r="E91" s="5" t="s">
        <v>47</v>
      </c>
      <c r="F91" s="15">
        <v>0</v>
      </c>
      <c r="G91" s="5">
        <v>2082280000</v>
      </c>
    </row>
    <row r="92" spans="2:7" x14ac:dyDescent="0.25">
      <c r="B92" s="2" t="str">
        <f>G92&amp;D92</f>
        <v>20822800001009</v>
      </c>
      <c r="C92" s="5" t="s">
        <v>86</v>
      </c>
      <c r="D92" s="5">
        <v>1009</v>
      </c>
      <c r="E92" s="5" t="s">
        <v>35</v>
      </c>
      <c r="F92" s="15">
        <v>0</v>
      </c>
      <c r="G92" s="5">
        <v>2082280000</v>
      </c>
    </row>
    <row r="93" spans="2:7" x14ac:dyDescent="0.25">
      <c r="B93" s="2" t="str">
        <f>G93&amp;D93</f>
        <v>20822800001007</v>
      </c>
      <c r="C93" s="5" t="s">
        <v>86</v>
      </c>
      <c r="D93" s="5">
        <v>1007</v>
      </c>
      <c r="E93" s="5" t="s">
        <v>37</v>
      </c>
      <c r="F93" s="15">
        <v>0</v>
      </c>
      <c r="G93" s="5">
        <v>2082280000</v>
      </c>
    </row>
    <row r="94" spans="2:7" x14ac:dyDescent="0.25">
      <c r="B94" s="2" t="str">
        <f>G94&amp;D94</f>
        <v>20822800001008</v>
      </c>
      <c r="C94" s="5" t="s">
        <v>86</v>
      </c>
      <c r="D94" s="5">
        <v>1008</v>
      </c>
      <c r="E94" s="5" t="s">
        <v>39</v>
      </c>
      <c r="F94" s="15">
        <v>0</v>
      </c>
      <c r="G94" s="5">
        <v>2082280000</v>
      </c>
    </row>
    <row r="95" spans="2:7" x14ac:dyDescent="0.25">
      <c r="B95" s="2" t="str">
        <f>G95&amp;D95</f>
        <v>20822800001240</v>
      </c>
      <c r="C95" s="5" t="s">
        <v>86</v>
      </c>
      <c r="D95" s="5">
        <v>1240</v>
      </c>
      <c r="E95" s="5" t="s">
        <v>44</v>
      </c>
      <c r="F95" s="15">
        <v>0</v>
      </c>
      <c r="G95" s="5">
        <v>2082280000</v>
      </c>
    </row>
    <row r="96" spans="2:7" x14ac:dyDescent="0.25">
      <c r="B96" s="2" t="str">
        <f>G96&amp;D96</f>
        <v>20822800001006</v>
      </c>
      <c r="C96" s="5" t="s">
        <v>86</v>
      </c>
      <c r="D96" s="5">
        <v>1006</v>
      </c>
      <c r="E96" s="5" t="s">
        <v>54</v>
      </c>
      <c r="F96" s="15">
        <v>0</v>
      </c>
      <c r="G96" s="5">
        <v>2082280000</v>
      </c>
    </row>
    <row r="97" spans="2:7" x14ac:dyDescent="0.25">
      <c r="B97" s="2" t="str">
        <f>G97&amp;D97</f>
        <v>2082280000111111</v>
      </c>
      <c r="C97" s="5" t="s">
        <v>86</v>
      </c>
      <c r="D97" s="5">
        <v>111111</v>
      </c>
      <c r="E97" s="5" t="s">
        <v>99</v>
      </c>
      <c r="F97" s="15">
        <v>-73809.511999999988</v>
      </c>
      <c r="G97" s="5">
        <v>2082280000</v>
      </c>
    </row>
    <row r="98" spans="2:7" hidden="1" x14ac:dyDescent="0.25">
      <c r="B98" s="2" t="s">
        <v>121</v>
      </c>
      <c r="D98" s="5"/>
      <c r="F98" s="19"/>
      <c r="G98" s="5"/>
    </row>
    <row r="99" spans="2:7" x14ac:dyDescent="0.25">
      <c r="B99" s="2" t="str">
        <f>G99&amp;D99</f>
        <v>2082208200111101</v>
      </c>
      <c r="C99" s="5" t="s">
        <v>87</v>
      </c>
      <c r="D99" s="5">
        <v>111101</v>
      </c>
      <c r="E99" s="5" t="s">
        <v>1</v>
      </c>
      <c r="F99" s="15">
        <v>7173.195999999999</v>
      </c>
      <c r="G99" s="5">
        <v>2082208200</v>
      </c>
    </row>
    <row r="100" spans="2:7" hidden="1" x14ac:dyDescent="0.25">
      <c r="B100" s="2" t="s">
        <v>121</v>
      </c>
      <c r="D100" s="5"/>
      <c r="F100" s="19"/>
      <c r="G100" s="5"/>
    </row>
    <row r="101" spans="2:7" x14ac:dyDescent="0.25">
      <c r="B101" s="2" t="str">
        <f>G101&amp;D101</f>
        <v>208221400088</v>
      </c>
      <c r="C101" s="5" t="s">
        <v>88</v>
      </c>
      <c r="D101" s="5">
        <v>88</v>
      </c>
      <c r="E101" s="5" t="s">
        <v>32</v>
      </c>
      <c r="F101" s="15">
        <v>2324465.8859999999</v>
      </c>
      <c r="G101" s="5">
        <v>2082214000</v>
      </c>
    </row>
    <row r="102" spans="2:7" x14ac:dyDescent="0.25">
      <c r="B102" s="2" t="str">
        <f>G102&amp;D102</f>
        <v>20822140001007</v>
      </c>
      <c r="C102" s="5" t="s">
        <v>88</v>
      </c>
      <c r="D102" s="5">
        <v>1007</v>
      </c>
      <c r="E102" s="5" t="s">
        <v>38</v>
      </c>
      <c r="F102" s="15">
        <v>0</v>
      </c>
      <c r="G102" s="5">
        <v>2082214000</v>
      </c>
    </row>
    <row r="103" spans="2:7" x14ac:dyDescent="0.25">
      <c r="B103" s="2" t="str">
        <f>G103&amp;D103</f>
        <v>2082214000111111</v>
      </c>
      <c r="C103" s="5" t="s">
        <v>88</v>
      </c>
      <c r="D103" s="5">
        <v>111111</v>
      </c>
      <c r="E103" s="5" t="s">
        <v>99</v>
      </c>
      <c r="F103" s="15">
        <v>51.454999999999998</v>
      </c>
      <c r="G103" s="5">
        <v>2082214000</v>
      </c>
    </row>
    <row r="104" spans="2:7" hidden="1" x14ac:dyDescent="0.25">
      <c r="B104" s="2" t="s">
        <v>121</v>
      </c>
      <c r="D104" s="5"/>
      <c r="F104" s="19"/>
      <c r="G104" s="5"/>
    </row>
    <row r="105" spans="2:7" x14ac:dyDescent="0.25">
      <c r="B105" s="2" t="str">
        <f>G105&amp;D105</f>
        <v>2082110000111101</v>
      </c>
      <c r="C105" s="5" t="s">
        <v>102</v>
      </c>
      <c r="D105" s="5">
        <v>111101</v>
      </c>
      <c r="E105" s="5" t="s">
        <v>1</v>
      </c>
      <c r="F105" s="15">
        <v>0</v>
      </c>
      <c r="G105" s="5">
        <v>2082110000</v>
      </c>
    </row>
    <row r="106" spans="2:7" hidden="1" x14ac:dyDescent="0.25">
      <c r="B106" s="2" t="s">
        <v>121</v>
      </c>
      <c r="D106" s="5"/>
      <c r="F106" s="19"/>
      <c r="G106" s="5"/>
    </row>
    <row r="107" spans="2:7" x14ac:dyDescent="0.25">
      <c r="B107" s="2" t="str">
        <f>G107&amp;D107</f>
        <v>2091200000111101</v>
      </c>
      <c r="C107" s="5" t="s">
        <v>89</v>
      </c>
      <c r="D107" s="5">
        <v>111101</v>
      </c>
      <c r="E107" s="5" t="s">
        <v>1</v>
      </c>
      <c r="F107" s="15">
        <v>2558.1950000000002</v>
      </c>
      <c r="G107" s="5">
        <v>2091200000</v>
      </c>
    </row>
    <row r="108" spans="2:7" hidden="1" x14ac:dyDescent="0.25">
      <c r="B108" s="2" t="s">
        <v>121</v>
      </c>
      <c r="D108" s="5"/>
      <c r="F108" s="19"/>
      <c r="G108" s="5"/>
    </row>
    <row r="109" spans="2:7" x14ac:dyDescent="0.25">
      <c r="B109" s="2" t="str">
        <f>G109&amp;D109</f>
        <v>2091200001111101</v>
      </c>
      <c r="C109" s="5" t="s">
        <v>90</v>
      </c>
      <c r="D109" s="5">
        <v>111101</v>
      </c>
      <c r="E109" s="5" t="s">
        <v>1</v>
      </c>
      <c r="F109" s="15">
        <v>522710.353</v>
      </c>
      <c r="G109" s="5">
        <v>2091200001</v>
      </c>
    </row>
    <row r="110" spans="2:7" hidden="1" x14ac:dyDescent="0.25">
      <c r="B110" s="2" t="s">
        <v>121</v>
      </c>
      <c r="D110" s="5"/>
      <c r="F110" s="19"/>
      <c r="G110" s="5"/>
    </row>
    <row r="111" spans="2:7" x14ac:dyDescent="0.25">
      <c r="B111" s="2" t="str">
        <f>G111&amp;D111</f>
        <v>2092200000111101</v>
      </c>
      <c r="C111" s="5" t="s">
        <v>91</v>
      </c>
      <c r="D111" s="5">
        <v>111101</v>
      </c>
      <c r="E111" s="5" t="s">
        <v>1</v>
      </c>
      <c r="F111" s="15">
        <v>-160303.52199999997</v>
      </c>
      <c r="G111" s="5">
        <v>2092200000</v>
      </c>
    </row>
    <row r="112" spans="2:7" hidden="1" x14ac:dyDescent="0.25">
      <c r="B112" s="2" t="s">
        <v>121</v>
      </c>
      <c r="D112" s="5"/>
      <c r="F112" s="19"/>
      <c r="G112" s="5"/>
    </row>
    <row r="113" spans="2:7" x14ac:dyDescent="0.25">
      <c r="B113" s="2" t="str">
        <f>G113&amp;D113</f>
        <v>2111111997111101</v>
      </c>
      <c r="C113" s="5" t="s">
        <v>28</v>
      </c>
      <c r="D113" s="5">
        <v>111101</v>
      </c>
      <c r="E113" s="5" t="s">
        <v>1</v>
      </c>
      <c r="F113" s="15">
        <v>0</v>
      </c>
      <c r="G113" s="5">
        <v>2111111997</v>
      </c>
    </row>
    <row r="114" spans="2:7" x14ac:dyDescent="0.25">
      <c r="B114" s="16" t="str">
        <f>G114&amp;D114</f>
        <v>2111111999111101</v>
      </c>
      <c r="C114" s="16" t="s">
        <v>64</v>
      </c>
      <c r="D114" s="16">
        <v>111101</v>
      </c>
      <c r="E114" s="16" t="s">
        <v>1</v>
      </c>
      <c r="F114" s="17">
        <v>-779290.47600000002</v>
      </c>
      <c r="G114" s="16">
        <v>2111111999</v>
      </c>
    </row>
    <row r="115" spans="2:7" x14ac:dyDescent="0.25">
      <c r="D115" s="5"/>
    </row>
    <row r="116" spans="2:7" x14ac:dyDescent="0.25">
      <c r="D116" s="5"/>
    </row>
    <row r="117" spans="2:7" x14ac:dyDescent="0.25">
      <c r="D117" s="5"/>
    </row>
    <row r="118" spans="2:7" x14ac:dyDescent="0.25">
      <c r="D118" s="5"/>
    </row>
    <row r="119" spans="2:7" x14ac:dyDescent="0.25">
      <c r="D119" s="5"/>
    </row>
    <row r="120" spans="2:7" x14ac:dyDescent="0.25">
      <c r="D120" s="5"/>
    </row>
    <row r="121" spans="2:7" x14ac:dyDescent="0.25">
      <c r="D121" s="5"/>
    </row>
    <row r="122" spans="2:7" x14ac:dyDescent="0.25">
      <c r="D122" s="5"/>
    </row>
    <row r="123" spans="2:7" x14ac:dyDescent="0.25">
      <c r="D123" s="5"/>
    </row>
    <row r="124" spans="2:7" x14ac:dyDescent="0.25">
      <c r="D124" s="5"/>
    </row>
    <row r="125" spans="2:7" x14ac:dyDescent="0.25">
      <c r="D125" s="5"/>
    </row>
    <row r="126" spans="2:7" x14ac:dyDescent="0.25">
      <c r="D126" s="5"/>
    </row>
    <row r="127" spans="2:7" x14ac:dyDescent="0.25">
      <c r="D127" s="5"/>
    </row>
    <row r="128" spans="2:7" x14ac:dyDescent="0.25">
      <c r="D128" s="5"/>
    </row>
    <row r="129" spans="4:4" x14ac:dyDescent="0.25">
      <c r="D129" s="5"/>
    </row>
    <row r="130" spans="4:4" x14ac:dyDescent="0.25">
      <c r="D130" s="5"/>
    </row>
    <row r="131" spans="4:4" x14ac:dyDescent="0.25">
      <c r="D131" s="5"/>
    </row>
    <row r="132" spans="4:4" x14ac:dyDescent="0.25">
      <c r="D132" s="5"/>
    </row>
    <row r="133" spans="4:4" x14ac:dyDescent="0.25">
      <c r="D133" s="5"/>
    </row>
    <row r="134" spans="4:4" x14ac:dyDescent="0.25">
      <c r="D134" s="5"/>
    </row>
    <row r="135" spans="4:4" x14ac:dyDescent="0.25">
      <c r="D135" s="5"/>
    </row>
    <row r="136" spans="4:4" x14ac:dyDescent="0.25">
      <c r="D136" s="5"/>
    </row>
    <row r="137" spans="4:4" x14ac:dyDescent="0.25">
      <c r="D137" s="5"/>
    </row>
    <row r="138" spans="4:4" x14ac:dyDescent="0.25">
      <c r="D138" s="5"/>
    </row>
    <row r="139" spans="4:4" x14ac:dyDescent="0.25">
      <c r="D139" s="5"/>
    </row>
    <row r="140" spans="4:4" x14ac:dyDescent="0.25">
      <c r="D140" s="5"/>
    </row>
    <row r="141" spans="4:4" x14ac:dyDescent="0.25">
      <c r="D141" s="5"/>
    </row>
    <row r="142" spans="4:4" x14ac:dyDescent="0.25">
      <c r="D142" s="5"/>
    </row>
    <row r="143" spans="4:4" x14ac:dyDescent="0.25">
      <c r="D143" s="5"/>
    </row>
    <row r="144" spans="4:4" x14ac:dyDescent="0.25">
      <c r="D144" s="5"/>
    </row>
    <row r="145" spans="4:4" x14ac:dyDescent="0.25">
      <c r="D145" s="5"/>
    </row>
    <row r="146" spans="4:4" x14ac:dyDescent="0.25">
      <c r="D146" s="5"/>
    </row>
    <row r="147" spans="4:4" x14ac:dyDescent="0.25">
      <c r="D147" s="5"/>
    </row>
    <row r="148" spans="4:4" x14ac:dyDescent="0.25">
      <c r="D148" s="5"/>
    </row>
    <row r="149" spans="4:4" x14ac:dyDescent="0.25">
      <c r="D149" s="5"/>
    </row>
    <row r="150" spans="4:4" x14ac:dyDescent="0.25">
      <c r="D150" s="5"/>
    </row>
    <row r="151" spans="4:4" x14ac:dyDescent="0.25">
      <c r="D151" s="5"/>
    </row>
    <row r="152" spans="4:4" x14ac:dyDescent="0.25">
      <c r="D152" s="5"/>
    </row>
    <row r="153" spans="4:4" x14ac:dyDescent="0.25">
      <c r="D153" s="5"/>
    </row>
  </sheetData>
  <autoFilter ref="B3:G114" xr:uid="{00000000-0001-0000-0500-000000000000}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>
      <selection activeCell="L26" sqref="L26"/>
    </sheetView>
  </sheetViews>
  <sheetFormatPr defaultRowHeight="14.5" x14ac:dyDescent="0.3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6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9.08984375" defaultRowHeight="11.5" x14ac:dyDescent="0.25"/>
  <cols>
    <col min="1" max="1" width="2" style="2" customWidth="1"/>
    <col min="2" max="2" width="18.54296875" style="2" customWidth="1"/>
    <col min="3" max="3" width="23.6328125" style="2" customWidth="1"/>
    <col min="4" max="4" width="8.36328125" style="2" customWidth="1"/>
    <col min="5" max="5" width="21.1796875" style="2" customWidth="1"/>
    <col min="6" max="6" width="14.90625" style="2" customWidth="1"/>
    <col min="7" max="7" width="13.81640625" style="2" customWidth="1"/>
    <col min="8" max="8" width="14.1796875" style="2" customWidth="1"/>
    <col min="9" max="9" width="19.54296875" style="2" customWidth="1"/>
    <col min="10" max="10" width="9.08984375" style="21"/>
    <col min="11" max="16384" width="9.08984375" style="2"/>
  </cols>
  <sheetData>
    <row r="1" spans="2:10" ht="14" x14ac:dyDescent="0.3">
      <c r="B1" s="34" t="s">
        <v>56</v>
      </c>
      <c r="C1" s="25"/>
    </row>
    <row r="2" spans="2:10" x14ac:dyDescent="0.25">
      <c r="B2" s="37"/>
    </row>
    <row r="3" spans="2:10" ht="12" thickBot="1" x14ac:dyDescent="0.3">
      <c r="B3" s="35" t="s">
        <v>115</v>
      </c>
      <c r="C3" s="35" t="s">
        <v>117</v>
      </c>
      <c r="D3" s="35" t="s">
        <v>226</v>
      </c>
      <c r="E3" s="35" t="s">
        <v>112</v>
      </c>
      <c r="F3" s="35" t="s">
        <v>227</v>
      </c>
      <c r="G3" s="35" t="s">
        <v>228</v>
      </c>
      <c r="H3" s="35" t="s">
        <v>229</v>
      </c>
      <c r="I3" s="35" t="s">
        <v>242</v>
      </c>
      <c r="J3" s="40" t="s">
        <v>269</v>
      </c>
    </row>
    <row r="4" spans="2:10" x14ac:dyDescent="0.25">
      <c r="B4" s="5" t="s">
        <v>116</v>
      </c>
      <c r="C4" s="5" t="str">
        <f>VLOOKUP($B4,'1.1 FY2016'!$B$4:$E$92,2,FALSE)</f>
        <v>Core business revenues</v>
      </c>
      <c r="D4" s="5">
        <f>VLOOKUP($B4,'1.1 FY2016'!$B$4:$E$92,3,FALSE)</f>
        <v>111111</v>
      </c>
      <c r="E4" s="5" t="str">
        <f>VLOOKUP($B4,'1.1 FY2016'!$B$4:$E$92,4,FALSE)</f>
        <v>External</v>
      </c>
      <c r="F4" s="5">
        <f>-SUMIF('1.1 FY2016'!$B:$B,'2.1 Database'!$B4,'1.1 FY2016'!$F:$F)</f>
        <v>14500341</v>
      </c>
      <c r="G4" s="5">
        <f>-SUMIF('1.2 FY2017'!$B:$B,'2.1 Database'!$B4,'1.2 FY2017'!$F:$F)</f>
        <v>15792898.75</v>
      </c>
      <c r="H4" s="5">
        <f>-SUMIF('1.3 FY2018'!$B:$B,'2.1 Database'!$B4,'1.3 FY2018'!$F:$F)</f>
        <v>14431341</v>
      </c>
      <c r="I4" s="2" t="str">
        <f>VLOOKUP($C4,'2.3 Mapping'!$B$4:$C$49,2,FALSE)</f>
        <v>Net Sales</v>
      </c>
      <c r="J4" s="21">
        <f>COUNTIF('2.2 P&amp;L statement'!$B$4:$B$24,'2.1 Database'!I4)</f>
        <v>1</v>
      </c>
    </row>
    <row r="5" spans="2:10" x14ac:dyDescent="0.25">
      <c r="B5" s="5" t="s">
        <v>123</v>
      </c>
      <c r="C5" s="5" t="str">
        <f>VLOOKUP($B5,'1.1 FY2016'!$B$4:$E$92,2,FALSE)</f>
        <v>Other revenues</v>
      </c>
      <c r="D5" s="5">
        <f>VLOOKUP($B5,'1.1 FY2016'!$B$4:$E$92,3,FALSE)</f>
        <v>111111</v>
      </c>
      <c r="E5" s="5" t="str">
        <f>VLOOKUP($B5,'1.1 FY2016'!$B$4:$E$92,4,FALSE)</f>
        <v>External</v>
      </c>
      <c r="F5" s="5">
        <f>-SUMIF('1.1 FY2016'!$B:$B,'2.1 Database'!$B5,'1.1 FY2016'!$F:$F)</f>
        <v>4794856.1919999998</v>
      </c>
      <c r="G5" s="5">
        <f>-SUMIF('1.2 FY2017'!$B:$B,'2.1 Database'!$B5,'1.2 FY2017'!$F:$F)</f>
        <v>6960217.6449999996</v>
      </c>
      <c r="H5" s="5">
        <f>-SUMIF('1.3 FY2018'!$B:$B,'2.1 Database'!$B5,'1.3 FY2018'!$F:$F)</f>
        <v>6373617.5140000004</v>
      </c>
      <c r="I5" s="2" t="str">
        <f>VLOOKUP($C5,'2.3 Mapping'!$B$4:$C$49,2,FALSE)</f>
        <v>Other revenues</v>
      </c>
      <c r="J5" s="21">
        <f>COUNTIF('2.2 P&amp;L statement'!$B$4:$B$24,'2.1 Database'!I5)</f>
        <v>1</v>
      </c>
    </row>
    <row r="6" spans="2:10" x14ac:dyDescent="0.25">
      <c r="B6" s="5" t="s">
        <v>124</v>
      </c>
      <c r="C6" s="5" t="str">
        <f>VLOOKUP($B6,'1.1 FY2016'!$B$4:$E$92,2,FALSE)</f>
        <v>Capitalized costs</v>
      </c>
      <c r="D6" s="5">
        <f>VLOOKUP($B6,'1.1 FY2016'!$B$4:$E$92,3,FALSE)</f>
        <v>1009</v>
      </c>
      <c r="E6" s="5" t="str">
        <f>VLOOKUP($B6,'1.1 FY2016'!$B$4:$E$92,4,FALSE)</f>
        <v>Green Ventures Ltd</v>
      </c>
      <c r="F6" s="5">
        <f>-SUMIF('1.1 FY2016'!$B:$B,'2.1 Database'!$B6,'1.1 FY2016'!$F:$F)</f>
        <v>154890.4</v>
      </c>
      <c r="G6" s="5">
        <f>-SUMIF('1.2 FY2017'!$B:$B,'2.1 Database'!$B6,'1.2 FY2017'!$F:$F)</f>
        <v>0</v>
      </c>
      <c r="H6" s="5">
        <f>-SUMIF('1.3 FY2018'!$B:$B,'2.1 Database'!$B6,'1.3 FY2018'!$F:$F)</f>
        <v>0</v>
      </c>
      <c r="I6" s="2" t="str">
        <f>VLOOKUP($C6,'2.3 Mapping'!$B$4:$C$49,2,FALSE)</f>
        <v>Capitalized costs</v>
      </c>
      <c r="J6" s="21">
        <f>COUNTIF('2.2 P&amp;L statement'!$B$4:$B$24,'2.1 Database'!I6)</f>
        <v>1</v>
      </c>
    </row>
    <row r="7" spans="2:10" x14ac:dyDescent="0.25">
      <c r="B7" s="5" t="s">
        <v>125</v>
      </c>
      <c r="C7" s="5" t="str">
        <f>VLOOKUP($B7,'1.1 FY2016'!$B$4:$E$92,2,FALSE)</f>
        <v>Capitalized costs</v>
      </c>
      <c r="D7" s="5">
        <f>VLOOKUP($B7,'1.1 FY2016'!$B$4:$E$92,3,FALSE)</f>
        <v>1007</v>
      </c>
      <c r="E7" s="5" t="str">
        <f>VLOOKUP($B7,'1.1 FY2016'!$B$4:$E$92,4,FALSE)</f>
        <v>Generco Sunshine JSC</v>
      </c>
      <c r="F7" s="5">
        <f>-SUMIF('1.1 FY2016'!$B:$B,'2.1 Database'!$B7,'1.1 FY2016'!$F:$F)</f>
        <v>1180894.0520000001</v>
      </c>
      <c r="G7" s="5">
        <f>-SUMIF('1.2 FY2017'!$B:$B,'2.1 Database'!$B7,'1.2 FY2017'!$F:$F)</f>
        <v>89234.880000000005</v>
      </c>
      <c r="H7" s="5">
        <f>-SUMIF('1.3 FY2018'!$B:$B,'2.1 Database'!$B7,'1.3 FY2018'!$F:$F)</f>
        <v>0</v>
      </c>
      <c r="I7" s="2" t="str">
        <f>VLOOKUP($C7,'2.3 Mapping'!$B$4:$C$49,2,FALSE)</f>
        <v>Capitalized costs</v>
      </c>
      <c r="J7" s="21">
        <f>COUNTIF('2.2 P&amp;L statement'!$B$4:$B$24,'2.1 Database'!I7)</f>
        <v>1</v>
      </c>
    </row>
    <row r="8" spans="2:10" x14ac:dyDescent="0.25">
      <c r="B8" s="5" t="s">
        <v>126</v>
      </c>
      <c r="C8" s="5" t="str">
        <f>VLOOKUP($B8,'1.1 FY2016'!$B$4:$E$92,2,FALSE)</f>
        <v>Capitalized costs</v>
      </c>
      <c r="D8" s="5">
        <f>VLOOKUP($B8,'1.1 FY2016'!$B$4:$E$92,3,FALSE)</f>
        <v>1008</v>
      </c>
      <c r="E8" s="5" t="str">
        <f>VLOOKUP($B8,'1.1 FY2016'!$B$4:$E$92,4,FALSE)</f>
        <v>Greenco Ltd</v>
      </c>
      <c r="F8" s="5">
        <f>-SUMIF('1.1 FY2016'!$B:$B,'2.1 Database'!$B8,'1.1 FY2016'!$F:$F)</f>
        <v>793079.51199999999</v>
      </c>
      <c r="G8" s="5">
        <f>-SUMIF('1.2 FY2017'!$B:$B,'2.1 Database'!$B8,'1.2 FY2017'!$F:$F)</f>
        <v>26173</v>
      </c>
      <c r="H8" s="5">
        <f>-SUMIF('1.3 FY2018'!$B:$B,'2.1 Database'!$B8,'1.3 FY2018'!$F:$F)</f>
        <v>0</v>
      </c>
      <c r="I8" s="2" t="str">
        <f>VLOOKUP($C8,'2.3 Mapping'!$B$4:$C$49,2,FALSE)</f>
        <v>Capitalized costs</v>
      </c>
      <c r="J8" s="21">
        <f>COUNTIF('2.2 P&amp;L statement'!$B$4:$B$24,'2.1 Database'!I8)</f>
        <v>1</v>
      </c>
    </row>
    <row r="9" spans="2:10" x14ac:dyDescent="0.25">
      <c r="B9" s="5" t="s">
        <v>127</v>
      </c>
      <c r="C9" s="5" t="str">
        <f>VLOOKUP($B9,'1.1 FY2016'!$B$4:$E$92,2,FALSE)</f>
        <v>Capitalized costs</v>
      </c>
      <c r="D9" s="5">
        <f>VLOOKUP($B9,'1.1 FY2016'!$B$4:$E$92,3,FALSE)</f>
        <v>111101</v>
      </c>
      <c r="E9" s="5" t="str">
        <f>VLOOKUP($B9,'1.1 FY2016'!$B$4:$E$92,4,FALSE)</f>
        <v>Not assigned</v>
      </c>
      <c r="F9" s="5">
        <f>-SUMIF('1.1 FY2016'!$B:$B,'2.1 Database'!$B9,'1.1 FY2016'!$F:$F)</f>
        <v>2277197.6</v>
      </c>
      <c r="G9" s="5">
        <f>-SUMIF('1.2 FY2017'!$B:$B,'2.1 Database'!$B9,'1.2 FY2017'!$F:$F)</f>
        <v>209401.92</v>
      </c>
      <c r="H9" s="5">
        <f>-SUMIF('1.3 FY2018'!$B:$B,'2.1 Database'!$B9,'1.3 FY2018'!$F:$F)</f>
        <v>0</v>
      </c>
      <c r="I9" s="2" t="str">
        <f>VLOOKUP($C9,'2.3 Mapping'!$B$4:$C$49,2,FALSE)</f>
        <v>Capitalized costs</v>
      </c>
      <c r="J9" s="21">
        <f>COUNTIF('2.2 P&amp;L statement'!$B$4:$B$24,'2.1 Database'!I9)</f>
        <v>1</v>
      </c>
    </row>
    <row r="10" spans="2:10" x14ac:dyDescent="0.25">
      <c r="B10" s="5" t="s">
        <v>128</v>
      </c>
      <c r="C10" s="5" t="str">
        <f>VLOOKUP($B10,'1.1 FY2016'!$B$4:$E$92,2,FALSE)</f>
        <v>Direct costs</v>
      </c>
      <c r="D10" s="5">
        <f>VLOOKUP($B10,'1.1 FY2016'!$B$4:$E$92,3,FALSE)</f>
        <v>111111</v>
      </c>
      <c r="E10" s="5" t="str">
        <f>VLOOKUP($B10,'1.1 FY2016'!$B$4:$E$92,4,FALSE)</f>
        <v>External</v>
      </c>
      <c r="F10" s="5">
        <f>-SUMIF('1.1 FY2016'!$B:$B,'2.1 Database'!$B10,'1.1 FY2016'!$F:$F)</f>
        <v>-4428911.7640000004</v>
      </c>
      <c r="G10" s="5">
        <f>-SUMIF('1.2 FY2017'!$B:$B,'2.1 Database'!$B10,'1.2 FY2017'!$F:$F)</f>
        <v>-5463188.8250000002</v>
      </c>
      <c r="H10" s="5">
        <f>-SUMIF('1.3 FY2018'!$B:$B,'2.1 Database'!$B10,'1.3 FY2018'!$F:$F)</f>
        <v>-5674152.0669999998</v>
      </c>
      <c r="I10" s="2" t="str">
        <f>VLOOKUP($C10,'2.3 Mapping'!$B$4:$C$49,2,FALSE)</f>
        <v>Direct costs</v>
      </c>
      <c r="J10" s="21">
        <f>COUNTIF('2.2 P&amp;L statement'!$B$4:$B$24,'2.1 Database'!I10)</f>
        <v>1</v>
      </c>
    </row>
    <row r="11" spans="2:10" x14ac:dyDescent="0.25">
      <c r="B11" s="5" t="s">
        <v>129</v>
      </c>
      <c r="C11" s="5" t="str">
        <f>VLOOKUP($B11,'1.1 FY2016'!$B$4:$E$92,2,FALSE)</f>
        <v>Freight outbound expenses</v>
      </c>
      <c r="D11" s="5">
        <f>VLOOKUP($B11,'1.1 FY2016'!$B$4:$E$92,3,FALSE)</f>
        <v>111111</v>
      </c>
      <c r="E11" s="5" t="str">
        <f>VLOOKUP($B11,'1.1 FY2016'!$B$4:$E$92,4,FALSE)</f>
        <v>External</v>
      </c>
      <c r="F11" s="5">
        <f>-SUMIF('1.1 FY2016'!$B:$B,'2.1 Database'!$B11,'1.1 FY2016'!$F:$F)</f>
        <v>-16977.628000000001</v>
      </c>
      <c r="G11" s="5">
        <f>-SUMIF('1.2 FY2017'!$B:$B,'2.1 Database'!$B11,'1.2 FY2017'!$F:$F)</f>
        <v>-343675</v>
      </c>
      <c r="H11" s="5">
        <f>-SUMIF('1.3 FY2018'!$B:$B,'2.1 Database'!$B11,'1.3 FY2018'!$F:$F)</f>
        <v>-350370.99399999995</v>
      </c>
      <c r="I11" s="2" t="str">
        <f>VLOOKUP($C11,'2.3 Mapping'!$B$4:$C$49,2,FALSE)</f>
        <v>Other operating expenses</v>
      </c>
      <c r="J11" s="21">
        <f>COUNTIF('2.2 P&amp;L statement'!$B$4:$B$24,'2.1 Database'!I11)</f>
        <v>1</v>
      </c>
    </row>
    <row r="12" spans="2:10" x14ac:dyDescent="0.25">
      <c r="B12" s="5" t="s">
        <v>130</v>
      </c>
      <c r="C12" s="5" t="str">
        <f>VLOOKUP($B12,'1.1 FY2016'!$B$4:$E$92,2,FALSE)</f>
        <v>R&amp;D expenses</v>
      </c>
      <c r="D12" s="5">
        <f>VLOOKUP($B12,'1.1 FY2016'!$B$4:$E$92,3,FALSE)</f>
        <v>88</v>
      </c>
      <c r="E12" s="5" t="str">
        <f>VLOOKUP($B12,'1.1 FY2016'!$B$4:$E$92,4,FALSE)</f>
        <v>Generco Ltd</v>
      </c>
      <c r="F12" s="5">
        <f>-SUMIF('1.1 FY2016'!$B:$B,'2.1 Database'!$B12,'1.1 FY2016'!$F:$F)</f>
        <v>-2245437.54</v>
      </c>
      <c r="G12" s="5">
        <f>-SUMIF('1.2 FY2017'!$B:$B,'2.1 Database'!$B12,'1.2 FY2017'!$F:$F)</f>
        <v>-1980162.23</v>
      </c>
      <c r="H12" s="5">
        <f>-SUMIF('1.3 FY2018'!$B:$B,'2.1 Database'!$B12,'1.3 FY2018'!$F:$F)</f>
        <v>-3116017.1540000001</v>
      </c>
      <c r="I12" s="2" t="str">
        <f>VLOOKUP($C12,'2.3 Mapping'!$B$4:$C$49,2,FALSE)</f>
        <v>Other operating expenses</v>
      </c>
      <c r="J12" s="21">
        <f>COUNTIF('2.2 P&amp;L statement'!$B$4:$B$24,'2.1 Database'!I12)</f>
        <v>1</v>
      </c>
    </row>
    <row r="13" spans="2:10" x14ac:dyDescent="0.25">
      <c r="B13" s="5" t="s">
        <v>131</v>
      </c>
      <c r="C13" s="5" t="str">
        <f>VLOOKUP($B13,'1.1 FY2016'!$B$4:$E$92,2,FALSE)</f>
        <v>R&amp;D expenses</v>
      </c>
      <c r="D13" s="5">
        <f>VLOOKUP($B13,'1.1 FY2016'!$B$4:$E$92,3,FALSE)</f>
        <v>111111</v>
      </c>
      <c r="E13" s="5" t="str">
        <f>VLOOKUP($B13,'1.1 FY2016'!$B$4:$E$92,4,FALSE)</f>
        <v>External</v>
      </c>
      <c r="F13" s="5">
        <f>-SUMIF('1.1 FY2016'!$B:$B,'2.1 Database'!$B13,'1.1 FY2016'!$F:$F)</f>
        <v>-16605.634000000002</v>
      </c>
      <c r="G13" s="5">
        <f>-SUMIF('1.2 FY2017'!$B:$B,'2.1 Database'!$B13,'1.2 FY2017'!$F:$F)</f>
        <v>-27148.625</v>
      </c>
      <c r="H13" s="5">
        <f>-SUMIF('1.3 FY2018'!$B:$B,'2.1 Database'!$B13,'1.3 FY2018'!$F:$F)</f>
        <v>-9783.7069999999985</v>
      </c>
      <c r="I13" s="2" t="str">
        <f>VLOOKUP($C13,'2.3 Mapping'!$B$4:$C$49,2,FALSE)</f>
        <v>Other operating expenses</v>
      </c>
      <c r="J13" s="21">
        <f>COUNTIF('2.2 P&amp;L statement'!$B$4:$B$24,'2.1 Database'!I13)</f>
        <v>1</v>
      </c>
    </row>
    <row r="14" spans="2:10" x14ac:dyDescent="0.25">
      <c r="B14" s="5" t="s">
        <v>132</v>
      </c>
      <c r="C14" s="5" t="str">
        <f>VLOOKUP($B14,'1.1 FY2016'!$B$4:$E$92,2,FALSE)</f>
        <v>Wages and salaries</v>
      </c>
      <c r="D14" s="5">
        <f>VLOOKUP($B14,'1.1 FY2016'!$B$4:$E$92,3,FALSE)</f>
        <v>111111</v>
      </c>
      <c r="E14" s="5" t="str">
        <f>VLOOKUP($B14,'1.1 FY2016'!$B$4:$E$92,4,FALSE)</f>
        <v>External</v>
      </c>
      <c r="F14" s="5">
        <f>-SUMIF('1.1 FY2016'!$B:$B,'2.1 Database'!$B14,'1.1 FY2016'!$F:$F)</f>
        <v>-4683394.0460000001</v>
      </c>
      <c r="G14" s="5">
        <f>-SUMIF('1.2 FY2017'!$B:$B,'2.1 Database'!$B14,'1.2 FY2017'!$F:$F)</f>
        <v>-5507141.0549999997</v>
      </c>
      <c r="H14" s="5">
        <f>-SUMIF('1.3 FY2018'!$B:$B,'2.1 Database'!$B14,'1.3 FY2018'!$F:$F)</f>
        <v>-3982699.5329999998</v>
      </c>
      <c r="I14" s="2" t="str">
        <f>VLOOKUP($C14,'2.3 Mapping'!$B$4:$C$49,2,FALSE)</f>
        <v>Personnel expenses</v>
      </c>
      <c r="J14" s="21">
        <f>COUNTIF('2.2 P&amp;L statement'!$B$4:$B$24,'2.1 Database'!I14)</f>
        <v>1</v>
      </c>
    </row>
    <row r="15" spans="2:10" x14ac:dyDescent="0.25">
      <c r="B15" s="5" t="s">
        <v>133</v>
      </c>
      <c r="C15" s="5" t="str">
        <f>VLOOKUP($B15,'1.1 FY2016'!$B$4:$E$92,2,FALSE)</f>
        <v>Pension contributions</v>
      </c>
      <c r="D15" s="5">
        <f>VLOOKUP($B15,'1.1 FY2016'!$B$4:$E$92,3,FALSE)</f>
        <v>111101</v>
      </c>
      <c r="E15" s="5" t="str">
        <f>VLOOKUP($B15,'1.1 FY2016'!$B$4:$E$92,4,FALSE)</f>
        <v>Not assigned</v>
      </c>
      <c r="F15" s="5">
        <f>-SUMIF('1.1 FY2016'!$B:$B,'2.1 Database'!$B15,'1.1 FY2016'!$F:$F)</f>
        <v>-1143051.5760000001</v>
      </c>
      <c r="G15" s="5">
        <f>-SUMIF('1.2 FY2017'!$B:$B,'2.1 Database'!$B15,'1.2 FY2017'!$F:$F)</f>
        <v>-2057298.04</v>
      </c>
      <c r="H15" s="5">
        <f>-SUMIF('1.3 FY2018'!$B:$B,'2.1 Database'!$B15,'1.3 FY2018'!$F:$F)</f>
        <v>-1709688.6429999997</v>
      </c>
      <c r="I15" s="2" t="str">
        <f>VLOOKUP($C15,'2.3 Mapping'!$B$4:$C$49,2,FALSE)</f>
        <v>Personnel expenses</v>
      </c>
      <c r="J15" s="21">
        <f>COUNTIF('2.2 P&amp;L statement'!$B$4:$B$24,'2.1 Database'!I15)</f>
        <v>1</v>
      </c>
    </row>
    <row r="16" spans="2:10" x14ac:dyDescent="0.25">
      <c r="B16" s="5" t="s">
        <v>134</v>
      </c>
      <c r="C16" s="5" t="str">
        <f>VLOOKUP($B16,'1.1 FY2016'!$B$4:$E$92,2,FALSE)</f>
        <v>Pension contributions</v>
      </c>
      <c r="D16" s="5">
        <f>VLOOKUP($B16,'1.1 FY2016'!$B$4:$E$92,3,FALSE)</f>
        <v>88</v>
      </c>
      <c r="E16" s="5" t="str">
        <f>VLOOKUP($B16,'1.1 FY2016'!$B$4:$E$92,4,FALSE)</f>
        <v>Generco Ltd</v>
      </c>
      <c r="F16" s="5">
        <f>-SUMIF('1.1 FY2016'!$B:$B,'2.1 Database'!$B16,'1.1 FY2016'!$F:$F)</f>
        <v>-239379.61800000002</v>
      </c>
      <c r="G16" s="5">
        <f>-SUMIF('1.2 FY2017'!$B:$B,'2.1 Database'!$B16,'1.2 FY2017'!$F:$F)</f>
        <v>0</v>
      </c>
      <c r="H16" s="5">
        <f>-SUMIF('1.3 FY2018'!$B:$B,'2.1 Database'!$B16,'1.3 FY2018'!$F:$F)</f>
        <v>0</v>
      </c>
      <c r="I16" s="2" t="str">
        <f>VLOOKUP($C16,'2.3 Mapping'!$B$4:$C$49,2,FALSE)</f>
        <v>Personnel expenses</v>
      </c>
      <c r="J16" s="21">
        <f>COUNTIF('2.2 P&amp;L statement'!$B$4:$B$24,'2.1 Database'!I16)</f>
        <v>1</v>
      </c>
    </row>
    <row r="17" spans="2:10" x14ac:dyDescent="0.25">
      <c r="B17" s="5" t="s">
        <v>135</v>
      </c>
      <c r="C17" s="5" t="str">
        <f>VLOOKUP($B17,'1.1 FY2016'!$B$4:$E$92,2,FALSE)</f>
        <v>Severance indemnity contribution</v>
      </c>
      <c r="D17" s="5">
        <f>VLOOKUP($B17,'1.1 FY2016'!$B$4:$E$92,3,FALSE)</f>
        <v>111101</v>
      </c>
      <c r="E17" s="5" t="str">
        <f>VLOOKUP($B17,'1.1 FY2016'!$B$4:$E$92,4,FALSE)</f>
        <v>Not assigned</v>
      </c>
      <c r="F17" s="5">
        <f>-SUMIF('1.1 FY2016'!$B:$B,'2.1 Database'!$B17,'1.1 FY2016'!$F:$F)</f>
        <v>-104913.8</v>
      </c>
      <c r="G17" s="5">
        <f>-SUMIF('1.2 FY2017'!$B:$B,'2.1 Database'!$B17,'1.2 FY2017'!$F:$F)</f>
        <v>-500500</v>
      </c>
      <c r="H17" s="5">
        <f>-SUMIF('1.3 FY2018'!$B:$B,'2.1 Database'!$B17,'1.3 FY2018'!$F:$F)</f>
        <v>-143500</v>
      </c>
      <c r="I17" s="2" t="str">
        <f>VLOOKUP($C17,'2.3 Mapping'!$B$4:$C$49,2,FALSE)</f>
        <v>Personnel expenses</v>
      </c>
      <c r="J17" s="21">
        <f>COUNTIF('2.2 P&amp;L statement'!$B$4:$B$24,'2.1 Database'!I17)</f>
        <v>1</v>
      </c>
    </row>
    <row r="18" spans="2:10" x14ac:dyDescent="0.25">
      <c r="B18" s="5" t="s">
        <v>136</v>
      </c>
      <c r="C18" s="5" t="str">
        <f>VLOOKUP($B18,'1.1 FY2016'!$B$4:$E$92,2,FALSE)</f>
        <v>D&amp;A</v>
      </c>
      <c r="D18" s="5">
        <f>VLOOKUP($B18,'1.1 FY2016'!$B$4:$E$92,3,FALSE)</f>
        <v>111101</v>
      </c>
      <c r="E18" s="5" t="str">
        <f>VLOOKUP($B18,'1.1 FY2016'!$B$4:$E$92,4,FALSE)</f>
        <v>Not assigned</v>
      </c>
      <c r="F18" s="5">
        <f>-SUMIF('1.1 FY2016'!$B:$B,'2.1 Database'!$B18,'1.1 FY2016'!$F:$F)</f>
        <v>-2003262.2180000001</v>
      </c>
      <c r="G18" s="5">
        <f>-SUMIF('1.2 FY2017'!$B:$B,'2.1 Database'!$B18,'1.2 FY2017'!$F:$F)</f>
        <v>-1897676.87</v>
      </c>
      <c r="H18" s="5">
        <f>-SUMIF('1.3 FY2018'!$B:$B,'2.1 Database'!$B18,'1.3 FY2018'!$F:$F)</f>
        <v>-1875768.159</v>
      </c>
      <c r="I18" s="39" t="s">
        <v>251</v>
      </c>
      <c r="J18" s="41">
        <f>COUNTIF('2.2 P&amp;L statement'!$B$4:$B$24,'2.1 Database'!I18)</f>
        <v>0</v>
      </c>
    </row>
    <row r="19" spans="2:10" x14ac:dyDescent="0.25">
      <c r="B19" s="5" t="s">
        <v>137</v>
      </c>
      <c r="C19" s="5" t="str">
        <f>VLOOKUP($B19,'1.1 FY2016'!$B$4:$E$92,2,FALSE)</f>
        <v>D&amp;A</v>
      </c>
      <c r="D19" s="5">
        <f>VLOOKUP($B19,'1.1 FY2016'!$B$4:$E$92,3,FALSE)</f>
        <v>1</v>
      </c>
      <c r="E19" s="5" t="str">
        <f>VLOOKUP($B19,'1.1 FY2016'!$B$4:$E$92,4,FALSE)</f>
        <v>Not assigned</v>
      </c>
      <c r="F19" s="5">
        <f>-SUMIF('1.1 FY2016'!$B:$B,'2.1 Database'!$B19,'1.1 FY2016'!$F:$F)</f>
        <v>-41981.296000000002</v>
      </c>
      <c r="G19" s="5">
        <f>-SUMIF('1.2 FY2017'!$B:$B,'2.1 Database'!$B19,'1.2 FY2017'!$F:$F)</f>
        <v>0</v>
      </c>
      <c r="H19" s="5">
        <f>-SUMIF('1.3 FY2018'!$B:$B,'2.1 Database'!$B19,'1.3 FY2018'!$F:$F)</f>
        <v>0</v>
      </c>
      <c r="I19" s="2" t="str">
        <f>VLOOKUP($C19,'2.3 Mapping'!$B$4:$C$49,2,FALSE)</f>
        <v>D&amp;A</v>
      </c>
      <c r="J19" s="21">
        <f>COUNTIF('2.2 P&amp;L statement'!$B$4:$B$24,'2.1 Database'!I19)</f>
        <v>1</v>
      </c>
    </row>
    <row r="20" spans="2:10" x14ac:dyDescent="0.25">
      <c r="B20" s="5" t="s">
        <v>138</v>
      </c>
      <c r="C20" s="5" t="str">
        <f>VLOOKUP($B20,'1.1 FY2016'!$B$4:$E$92,2,FALSE)</f>
        <v>Corporate recharges</v>
      </c>
      <c r="D20" s="5">
        <f>VLOOKUP($B20,'1.1 FY2016'!$B$4:$E$92,3,FALSE)</f>
        <v>1</v>
      </c>
      <c r="E20" s="5" t="str">
        <f>VLOOKUP($B20,'1.1 FY2016'!$B$4:$E$92,4,FALSE)</f>
        <v>Greeny Ltd</v>
      </c>
      <c r="F20" s="5">
        <f>-SUMIF('1.1 FY2016'!$B:$B,'2.1 Database'!$B20,'1.1 FY2016'!$F:$F)</f>
        <v>2156147.4</v>
      </c>
      <c r="G20" s="5">
        <f>-SUMIF('1.2 FY2017'!$B:$B,'2.1 Database'!$B20,'1.2 FY2017'!$F:$F)</f>
        <v>1643711.145</v>
      </c>
      <c r="H20" s="5">
        <f>-SUMIF('1.3 FY2018'!$B:$B,'2.1 Database'!$B20,'1.3 FY2018'!$F:$F)</f>
        <v>1418521.358</v>
      </c>
      <c r="I20" s="2" t="str">
        <f>VLOOKUP($C20,'2.3 Mapping'!$B$4:$C$49,2,FALSE)</f>
        <v>Recharges</v>
      </c>
      <c r="J20" s="21">
        <f>COUNTIF('2.2 P&amp;L statement'!$B$4:$B$24,'2.1 Database'!I20)</f>
        <v>1</v>
      </c>
    </row>
    <row r="21" spans="2:10" x14ac:dyDescent="0.25">
      <c r="B21" s="5" t="s">
        <v>139</v>
      </c>
      <c r="C21" s="5" t="str">
        <f>VLOOKUP($B21,'1.1 FY2016'!$B$4:$E$92,2,FALSE)</f>
        <v>Corporate recharges</v>
      </c>
      <c r="D21" s="5">
        <f>VLOOKUP($B21,'1.1 FY2016'!$B$4:$E$92,3,FALSE)</f>
        <v>14</v>
      </c>
      <c r="E21" s="5" t="str">
        <f>VLOOKUP($B21,'1.1 FY2016'!$B$4:$E$92,4,FALSE)</f>
        <v>Generco Cosmetics Ltd</v>
      </c>
      <c r="F21" s="5">
        <f>-SUMIF('1.1 FY2016'!$B:$B,'2.1 Database'!$B21,'1.1 FY2016'!$F:$F)</f>
        <v>291428.55199999997</v>
      </c>
      <c r="G21" s="5">
        <f>-SUMIF('1.2 FY2017'!$B:$B,'2.1 Database'!$B21,'1.2 FY2017'!$F:$F)</f>
        <v>0</v>
      </c>
      <c r="H21" s="5">
        <f>-SUMIF('1.3 FY2018'!$B:$B,'2.1 Database'!$B21,'1.3 FY2018'!$F:$F)</f>
        <v>0</v>
      </c>
      <c r="I21" s="2" t="str">
        <f>VLOOKUP($C21,'2.3 Mapping'!$B$4:$C$49,2,FALSE)</f>
        <v>Recharges</v>
      </c>
      <c r="J21" s="21">
        <f>COUNTIF('2.2 P&amp;L statement'!$B$4:$B$24,'2.1 Database'!I21)</f>
        <v>1</v>
      </c>
    </row>
    <row r="22" spans="2:10" x14ac:dyDescent="0.25">
      <c r="B22" s="5" t="s">
        <v>140</v>
      </c>
      <c r="C22" s="5" t="str">
        <f>VLOOKUP($B22,'1.1 FY2016'!$B$4:$E$92,2,FALSE)</f>
        <v>Corporate recharges</v>
      </c>
      <c r="D22" s="5">
        <f>VLOOKUP($B22,'1.1 FY2016'!$B$4:$E$92,3,FALSE)</f>
        <v>1037</v>
      </c>
      <c r="E22" s="5" t="str">
        <f>VLOOKUP($B22,'1.1 FY2016'!$B$4:$E$92,4,FALSE)</f>
        <v>Generco Canada JSC</v>
      </c>
      <c r="F22" s="5">
        <f>-SUMIF('1.1 FY2016'!$B:$B,'2.1 Database'!$B22,'1.1 FY2016'!$F:$F)</f>
        <v>0</v>
      </c>
      <c r="G22" s="5">
        <f>-SUMIF('1.2 FY2017'!$B:$B,'2.1 Database'!$B22,'1.2 FY2017'!$F:$F)</f>
        <v>0</v>
      </c>
      <c r="H22" s="5">
        <f>-SUMIF('1.3 FY2018'!$B:$B,'2.1 Database'!$B22,'1.3 FY2018'!$F:$F)</f>
        <v>0</v>
      </c>
      <c r="I22" s="2" t="str">
        <f>VLOOKUP($C22,'2.3 Mapping'!$B$4:$C$49,2,FALSE)</f>
        <v>Recharges</v>
      </c>
      <c r="J22" s="21">
        <f>COUNTIF('2.2 P&amp;L statement'!$B$4:$B$24,'2.1 Database'!I22)</f>
        <v>1</v>
      </c>
    </row>
    <row r="23" spans="2:10" x14ac:dyDescent="0.25">
      <c r="B23" s="5" t="s">
        <v>141</v>
      </c>
      <c r="C23" s="5" t="str">
        <f>VLOOKUP($B23,'1.1 FY2016'!$B$4:$E$92,2,FALSE)</f>
        <v>Corporate recharges</v>
      </c>
      <c r="D23" s="5">
        <f>VLOOKUP($B23,'1.1 FY2016'!$B$4:$E$92,3,FALSE)</f>
        <v>1087</v>
      </c>
      <c r="E23" s="5" t="str">
        <f>VLOOKUP($B23,'1.1 FY2016'!$B$4:$E$92,4,FALSE)</f>
        <v>Gener Beauty GmbH</v>
      </c>
      <c r="F23" s="5">
        <f>-SUMIF('1.1 FY2016'!$B:$B,'2.1 Database'!$B23,'1.1 FY2016'!$F:$F)</f>
        <v>33736.5</v>
      </c>
      <c r="G23" s="5">
        <f>-SUMIF('1.2 FY2017'!$B:$B,'2.1 Database'!$B23,'1.2 FY2017'!$F:$F)</f>
        <v>0</v>
      </c>
      <c r="H23" s="5">
        <f>-SUMIF('1.3 FY2018'!$B:$B,'2.1 Database'!$B23,'1.3 FY2018'!$F:$F)</f>
        <v>0</v>
      </c>
      <c r="I23" s="2" t="str">
        <f>VLOOKUP($C23,'2.3 Mapping'!$B$4:$C$49,2,FALSE)</f>
        <v>Recharges</v>
      </c>
      <c r="J23" s="21">
        <f>COUNTIF('2.2 P&amp;L statement'!$B$4:$B$24,'2.1 Database'!I23)</f>
        <v>1</v>
      </c>
    </row>
    <row r="24" spans="2:10" x14ac:dyDescent="0.25">
      <c r="B24" s="5" t="s">
        <v>142</v>
      </c>
      <c r="C24" s="5" t="str">
        <f>VLOOKUP($B24,'1.1 FY2016'!$B$4:$E$92,2,FALSE)</f>
        <v>Corporate recharges</v>
      </c>
      <c r="D24" s="5">
        <f>VLOOKUP($B24,'1.1 FY2016'!$B$4:$E$92,3,FALSE)</f>
        <v>1009</v>
      </c>
      <c r="E24" s="5" t="str">
        <f>VLOOKUP($B24,'1.1 FY2016'!$B$4:$E$92,4,FALSE)</f>
        <v>Green Ventures Ltd</v>
      </c>
      <c r="F24" s="5">
        <f>-SUMIF('1.1 FY2016'!$B:$B,'2.1 Database'!$B24,'1.1 FY2016'!$F:$F)</f>
        <v>0</v>
      </c>
      <c r="G24" s="5">
        <f>-SUMIF('1.2 FY2017'!$B:$B,'2.1 Database'!$B24,'1.2 FY2017'!$F:$F)</f>
        <v>0</v>
      </c>
      <c r="H24" s="5">
        <f>-SUMIF('1.3 FY2018'!$B:$B,'2.1 Database'!$B24,'1.3 FY2018'!$F:$F)</f>
        <v>0</v>
      </c>
      <c r="I24" s="2" t="str">
        <f>VLOOKUP($C24,'2.3 Mapping'!$B$4:$C$49,2,FALSE)</f>
        <v>Recharges</v>
      </c>
      <c r="J24" s="21">
        <f>COUNTIF('2.2 P&amp;L statement'!$B$4:$B$24,'2.1 Database'!I24)</f>
        <v>1</v>
      </c>
    </row>
    <row r="25" spans="2:10" x14ac:dyDescent="0.25">
      <c r="B25" s="5" t="s">
        <v>143</v>
      </c>
      <c r="C25" s="5" t="str">
        <f>VLOOKUP($B25,'1.1 FY2016'!$B$4:$E$92,2,FALSE)</f>
        <v>Corporate recharges</v>
      </c>
      <c r="D25" s="5">
        <f>VLOOKUP($B25,'1.1 FY2016'!$B$4:$E$92,3,FALSE)</f>
        <v>1007</v>
      </c>
      <c r="E25" s="5" t="str">
        <f>VLOOKUP($B25,'1.1 FY2016'!$B$4:$E$92,4,FALSE)</f>
        <v>Generco Sunshine JSC</v>
      </c>
      <c r="F25" s="5">
        <f>-SUMIF('1.1 FY2016'!$B:$B,'2.1 Database'!$B25,'1.1 FY2016'!$F:$F)</f>
        <v>0</v>
      </c>
      <c r="G25" s="5">
        <f>-SUMIF('1.2 FY2017'!$B:$B,'2.1 Database'!$B25,'1.2 FY2017'!$F:$F)</f>
        <v>0</v>
      </c>
      <c r="H25" s="5">
        <f>-SUMIF('1.3 FY2018'!$B:$B,'2.1 Database'!$B25,'1.3 FY2018'!$F:$F)</f>
        <v>0</v>
      </c>
      <c r="I25" s="2" t="str">
        <f>VLOOKUP($C25,'2.3 Mapping'!$B$4:$C$49,2,FALSE)</f>
        <v>Recharges</v>
      </c>
      <c r="J25" s="21">
        <f>COUNTIF('2.2 P&amp;L statement'!$B$4:$B$24,'2.1 Database'!I25)</f>
        <v>1</v>
      </c>
    </row>
    <row r="26" spans="2:10" x14ac:dyDescent="0.25">
      <c r="B26" s="5" t="s">
        <v>144</v>
      </c>
      <c r="C26" s="5" t="str">
        <f>VLOOKUP($B26,'1.1 FY2016'!$B$4:$E$92,2,FALSE)</f>
        <v>Corporate recharges</v>
      </c>
      <c r="D26" s="5">
        <f>VLOOKUP($B26,'1.1 FY2016'!$B$4:$E$92,3,FALSE)</f>
        <v>1008</v>
      </c>
      <c r="E26" s="5" t="str">
        <f>VLOOKUP($B26,'1.1 FY2016'!$B$4:$E$92,4,FALSE)</f>
        <v>Greenco Ltd</v>
      </c>
      <c r="F26" s="5">
        <f>-SUMIF('1.1 FY2016'!$B:$B,'2.1 Database'!$B26,'1.1 FY2016'!$F:$F)</f>
        <v>0</v>
      </c>
      <c r="G26" s="5">
        <f>-SUMIF('1.2 FY2017'!$B:$B,'2.1 Database'!$B26,'1.2 FY2017'!$F:$F)</f>
        <v>0</v>
      </c>
      <c r="H26" s="5">
        <f>-SUMIF('1.3 FY2018'!$B:$B,'2.1 Database'!$B26,'1.3 FY2018'!$F:$F)</f>
        <v>0</v>
      </c>
      <c r="I26" s="2" t="str">
        <f>VLOOKUP($C26,'2.3 Mapping'!$B$4:$C$49,2,FALSE)</f>
        <v>Recharges</v>
      </c>
      <c r="J26" s="21">
        <f>COUNTIF('2.2 P&amp;L statement'!$B$4:$B$24,'2.1 Database'!I26)</f>
        <v>1</v>
      </c>
    </row>
    <row r="27" spans="2:10" x14ac:dyDescent="0.25">
      <c r="B27" s="5" t="s">
        <v>145</v>
      </c>
      <c r="C27" s="5" t="str">
        <f>VLOOKUP($B27,'1.1 FY2016'!$B$4:$E$92,2,FALSE)</f>
        <v>Corporate recharges</v>
      </c>
      <c r="D27" s="5">
        <f>VLOOKUP($B27,'1.1 FY2016'!$B$4:$E$92,3,FALSE)</f>
        <v>1240</v>
      </c>
      <c r="E27" s="5" t="str">
        <f>VLOOKUP($B27,'1.1 FY2016'!$B$4:$E$92,4,FALSE)</f>
        <v xml:space="preserve">Generco UK </v>
      </c>
      <c r="F27" s="5">
        <f>-SUMIF('1.1 FY2016'!$B:$B,'2.1 Database'!$B27,'1.1 FY2016'!$F:$F)</f>
        <v>199600.4</v>
      </c>
      <c r="G27" s="5">
        <f>-SUMIF('1.2 FY2017'!$B:$B,'2.1 Database'!$B27,'1.2 FY2017'!$F:$F)</f>
        <v>10461.36</v>
      </c>
      <c r="H27" s="5">
        <f>-SUMIF('1.3 FY2018'!$B:$B,'2.1 Database'!$B27,'1.3 FY2018'!$F:$F)</f>
        <v>0</v>
      </c>
      <c r="I27" s="2" t="str">
        <f>VLOOKUP($C27,'2.3 Mapping'!$B$4:$C$49,2,FALSE)</f>
        <v>Recharges</v>
      </c>
      <c r="J27" s="21">
        <f>COUNTIF('2.2 P&amp;L statement'!$B$4:$B$24,'2.1 Database'!I27)</f>
        <v>1</v>
      </c>
    </row>
    <row r="28" spans="2:10" x14ac:dyDescent="0.25">
      <c r="B28" s="5" t="s">
        <v>146</v>
      </c>
      <c r="C28" s="5" t="str">
        <f>VLOOKUP($B28,'1.1 FY2016'!$B$4:$E$92,2,FALSE)</f>
        <v>Corporate recharges</v>
      </c>
      <c r="D28" s="5">
        <f>VLOOKUP($B28,'1.1 FY2016'!$B$4:$E$92,3,FALSE)</f>
        <v>111111</v>
      </c>
      <c r="E28" s="5" t="str">
        <f>VLOOKUP($B28,'1.1 FY2016'!$B$4:$E$92,4,FALSE)</f>
        <v>External</v>
      </c>
      <c r="F28" s="5">
        <f>-SUMIF('1.1 FY2016'!$B:$B,'2.1 Database'!$B28,'1.1 FY2016'!$F:$F)</f>
        <v>539141.4</v>
      </c>
      <c r="G28" s="5">
        <f>-SUMIF('1.2 FY2017'!$B:$B,'2.1 Database'!$B28,'1.2 FY2017'!$F:$F)</f>
        <v>6785.94</v>
      </c>
      <c r="H28" s="5">
        <f>-SUMIF('1.3 FY2018'!$B:$B,'2.1 Database'!$B28,'1.3 FY2018'!$F:$F)</f>
        <v>902857.84299999999</v>
      </c>
      <c r="I28" s="2" t="str">
        <f>VLOOKUP($C28,'2.3 Mapping'!$B$4:$C$49,2,FALSE)</f>
        <v>Recharges</v>
      </c>
      <c r="J28" s="21">
        <f>COUNTIF('2.2 P&amp;L statement'!$B$4:$B$24,'2.1 Database'!I28)</f>
        <v>1</v>
      </c>
    </row>
    <row r="29" spans="2:10" x14ac:dyDescent="0.25">
      <c r="B29" s="5" t="s">
        <v>147</v>
      </c>
      <c r="C29" s="5" t="str">
        <f>VLOOKUP($B29,'1.1 FY2016'!$B$4:$E$92,2,FALSE)</f>
        <v>Other income</v>
      </c>
      <c r="D29" s="5">
        <f>VLOOKUP($B29,'1.1 FY2016'!$B$4:$E$92,3,FALSE)</f>
        <v>111111</v>
      </c>
      <c r="E29" s="5" t="str">
        <f>VLOOKUP($B29,'1.1 FY2016'!$B$4:$E$92,4,FALSE)</f>
        <v>External</v>
      </c>
      <c r="F29" s="5">
        <f>-SUMIF('1.1 FY2016'!$B:$B,'2.1 Database'!$B29,'1.1 FY2016'!$F:$F)</f>
        <v>57.221999999999994</v>
      </c>
      <c r="G29" s="5">
        <f>-SUMIF('1.2 FY2017'!$B:$B,'2.1 Database'!$B29,'1.2 FY2017'!$F:$F)</f>
        <v>-9793.84</v>
      </c>
      <c r="H29" s="5">
        <f>-SUMIF('1.3 FY2018'!$B:$B,'2.1 Database'!$B29,'1.3 FY2018'!$F:$F)</f>
        <v>15872.001999999999</v>
      </c>
      <c r="I29" s="2" t="str">
        <f>VLOOKUP($C29,'2.3 Mapping'!$B$4:$C$49,2,FALSE)</f>
        <v>Other income</v>
      </c>
      <c r="J29" s="21">
        <f>COUNTIF('2.2 P&amp;L statement'!$B$4:$B$24,'2.1 Database'!I29)</f>
        <v>1</v>
      </c>
    </row>
    <row r="30" spans="2:10" x14ac:dyDescent="0.25">
      <c r="B30" s="5" t="s">
        <v>148</v>
      </c>
      <c r="C30" s="5" t="str">
        <f>VLOOKUP($B30,'1.1 FY2016'!$B$4:$E$92,2,FALSE)</f>
        <v>Marketing expenses</v>
      </c>
      <c r="D30" s="5">
        <f>VLOOKUP($B30,'1.1 FY2016'!$B$4:$E$92,3,FALSE)</f>
        <v>111111</v>
      </c>
      <c r="E30" s="5" t="str">
        <f>VLOOKUP($B30,'1.1 FY2016'!$B$4:$E$92,4,FALSE)</f>
        <v>External</v>
      </c>
      <c r="F30" s="5">
        <f>-SUMIF('1.1 FY2016'!$B:$B,'2.1 Database'!$B30,'1.1 FY2016'!$F:$F)</f>
        <v>-22314.879999999997</v>
      </c>
      <c r="G30" s="5">
        <f>-SUMIF('1.2 FY2017'!$B:$B,'2.1 Database'!$B30,'1.2 FY2017'!$F:$F)</f>
        <v>-65947.7</v>
      </c>
      <c r="H30" s="5">
        <f>-SUMIF('1.3 FY2018'!$B:$B,'2.1 Database'!$B30,'1.3 FY2018'!$F:$F)</f>
        <v>-57.317999999999998</v>
      </c>
      <c r="I30" s="2" t="str">
        <f>VLOOKUP($C30,'2.3 Mapping'!$B$4:$C$49,2,FALSE)</f>
        <v>Other operating expenses</v>
      </c>
      <c r="J30" s="21">
        <f>COUNTIF('2.2 P&amp;L statement'!$B$4:$B$24,'2.1 Database'!I30)</f>
        <v>1</v>
      </c>
    </row>
    <row r="31" spans="2:10" x14ac:dyDescent="0.25">
      <c r="B31" s="5" t="s">
        <v>149</v>
      </c>
      <c r="C31" s="5" t="str">
        <f>VLOOKUP($B31,'1.1 FY2016'!$B$4:$E$92,2,FALSE)</f>
        <v>Software&amp;IT</v>
      </c>
      <c r="D31" s="5">
        <f>VLOOKUP($B31,'1.1 FY2016'!$B$4:$E$92,3,FALSE)</f>
        <v>88</v>
      </c>
      <c r="E31" s="5" t="str">
        <f>VLOOKUP($B31,'1.1 FY2016'!$B$4:$E$92,4,FALSE)</f>
        <v>Generco Ltd</v>
      </c>
      <c r="F31" s="5">
        <f>-SUMIF('1.1 FY2016'!$B:$B,'2.1 Database'!$B31,'1.1 FY2016'!$F:$F)</f>
        <v>-204000</v>
      </c>
      <c r="G31" s="5">
        <f>-SUMIF('1.2 FY2017'!$B:$B,'2.1 Database'!$B31,'1.2 FY2017'!$F:$F)</f>
        <v>0</v>
      </c>
      <c r="H31" s="5">
        <f>-SUMIF('1.3 FY2018'!$B:$B,'2.1 Database'!$B31,'1.3 FY2018'!$F:$F)</f>
        <v>0</v>
      </c>
      <c r="I31" s="2" t="str">
        <f>VLOOKUP($C31,'2.3 Mapping'!$B$4:$C$49,2,FALSE)</f>
        <v>Other operating expenses</v>
      </c>
      <c r="J31" s="21">
        <f>COUNTIF('2.2 P&amp;L statement'!$B$4:$B$24,'2.1 Database'!I31)</f>
        <v>1</v>
      </c>
    </row>
    <row r="32" spans="2:10" x14ac:dyDescent="0.25">
      <c r="B32" s="5" t="s">
        <v>150</v>
      </c>
      <c r="C32" s="5" t="str">
        <f>VLOOKUP($B32,'1.1 FY2016'!$B$4:$E$92,2,FALSE)</f>
        <v>Software&amp;IT</v>
      </c>
      <c r="D32" s="5">
        <f>VLOOKUP($B32,'1.1 FY2016'!$B$4:$E$92,3,FALSE)</f>
        <v>111111</v>
      </c>
      <c r="E32" s="5" t="str">
        <f>VLOOKUP($B32,'1.1 FY2016'!$B$4:$E$92,4,FALSE)</f>
        <v>External</v>
      </c>
      <c r="F32" s="5">
        <f>-SUMIF('1.1 FY2016'!$B:$B,'2.1 Database'!$B32,'1.1 FY2016'!$F:$F)</f>
        <v>-138.41399999999999</v>
      </c>
      <c r="G32" s="5">
        <f>-SUMIF('1.2 FY2017'!$B:$B,'2.1 Database'!$B32,'1.2 FY2017'!$F:$F)</f>
        <v>-5138.91</v>
      </c>
      <c r="H32" s="5">
        <f>-SUMIF('1.3 FY2018'!$B:$B,'2.1 Database'!$B32,'1.3 FY2018'!$F:$F)</f>
        <v>-19198.66</v>
      </c>
      <c r="I32" s="2" t="str">
        <f>VLOOKUP($C32,'2.3 Mapping'!$B$4:$C$49,2,FALSE)</f>
        <v>Other operating expenses</v>
      </c>
      <c r="J32" s="21">
        <f>COUNTIF('2.2 P&amp;L statement'!$B$4:$B$24,'2.1 Database'!I32)</f>
        <v>1</v>
      </c>
    </row>
    <row r="33" spans="2:10" x14ac:dyDescent="0.25">
      <c r="B33" s="5" t="s">
        <v>151</v>
      </c>
      <c r="C33" s="5" t="str">
        <f>VLOOKUP($B33,'1.1 FY2016'!$B$4:$E$92,2,FALSE)</f>
        <v>Leasings</v>
      </c>
      <c r="D33" s="5">
        <f>VLOOKUP($B33,'1.1 FY2016'!$B$4:$E$92,3,FALSE)</f>
        <v>111111</v>
      </c>
      <c r="E33" s="5" t="str">
        <f>VLOOKUP($B33,'1.1 FY2016'!$B$4:$E$92,4,FALSE)</f>
        <v>External</v>
      </c>
      <c r="F33" s="5">
        <f>-SUMIF('1.1 FY2016'!$B:$B,'2.1 Database'!$B33,'1.1 FY2016'!$F:$F)</f>
        <v>-1127445.872</v>
      </c>
      <c r="G33" s="5">
        <f>-SUMIF('1.2 FY2017'!$B:$B,'2.1 Database'!$B33,'1.2 FY2017'!$F:$F)</f>
        <v>-1055381.4750000001</v>
      </c>
      <c r="H33" s="5">
        <f>-SUMIF('1.3 FY2018'!$B:$B,'2.1 Database'!$B33,'1.3 FY2018'!$F:$F)</f>
        <v>172933.44899999999</v>
      </c>
      <c r="I33" s="2" t="str">
        <f>VLOOKUP($C33,'2.3 Mapping'!$B$4:$C$49,2,FALSE)</f>
        <v>Leasing</v>
      </c>
      <c r="J33" s="21">
        <f>COUNTIF('2.2 P&amp;L statement'!$B$4:$B$24,'2.1 Database'!I33)</f>
        <v>1</v>
      </c>
    </row>
    <row r="34" spans="2:10" x14ac:dyDescent="0.25">
      <c r="B34" s="5" t="s">
        <v>152</v>
      </c>
      <c r="C34" s="5" t="str">
        <f>VLOOKUP($B34,'1.1 FY2016'!$B$4:$E$92,2,FALSE)</f>
        <v>Service expenses</v>
      </c>
      <c r="D34" s="5">
        <f>VLOOKUP($B34,'1.1 FY2016'!$B$4:$E$92,3,FALSE)</f>
        <v>43</v>
      </c>
      <c r="E34" s="5" t="str">
        <f>VLOOKUP($B34,'1.1 FY2016'!$B$4:$E$92,4,FALSE)</f>
        <v>Greeny France SL</v>
      </c>
      <c r="F34" s="5">
        <f>-SUMIF('1.1 FY2016'!$B:$B,'2.1 Database'!$B34,'1.1 FY2016'!$F:$F)</f>
        <v>-133722</v>
      </c>
      <c r="G34" s="5">
        <f>-SUMIF('1.2 FY2017'!$B:$B,'2.1 Database'!$B34,'1.2 FY2017'!$F:$F)</f>
        <v>0</v>
      </c>
      <c r="H34" s="5">
        <f>-SUMIF('1.3 FY2018'!$B:$B,'2.1 Database'!$B34,'1.3 FY2018'!$F:$F)</f>
        <v>0</v>
      </c>
      <c r="I34" s="2" t="str">
        <f>VLOOKUP($C34,'2.3 Mapping'!$B$4:$C$49,2,FALSE)</f>
        <v>Services</v>
      </c>
      <c r="J34" s="21">
        <f>COUNTIF('2.2 P&amp;L statement'!$B$4:$B$24,'2.1 Database'!I34)</f>
        <v>1</v>
      </c>
    </row>
    <row r="35" spans="2:10" x14ac:dyDescent="0.25">
      <c r="B35" s="5" t="s">
        <v>153</v>
      </c>
      <c r="C35" s="5" t="str">
        <f>VLOOKUP($B35,'1.1 FY2016'!$B$4:$E$92,2,FALSE)</f>
        <v>Service expenses</v>
      </c>
      <c r="D35" s="5">
        <f>VLOOKUP($B35,'1.1 FY2016'!$B$4:$E$92,3,FALSE)</f>
        <v>2240</v>
      </c>
      <c r="E35" s="5" t="str">
        <f>VLOOKUP($B35,'1.1 FY2016'!$B$4:$E$92,4,FALSE)</f>
        <v>Greeny Germany GmbH</v>
      </c>
      <c r="F35" s="5">
        <f>-SUMIF('1.1 FY2016'!$B:$B,'2.1 Database'!$B35,'1.1 FY2016'!$F:$F)</f>
        <v>-328061.886</v>
      </c>
      <c r="G35" s="5">
        <f>-SUMIF('1.2 FY2017'!$B:$B,'2.1 Database'!$B35,'1.2 FY2017'!$F:$F)</f>
        <v>-430845.34499999997</v>
      </c>
      <c r="H35" s="5">
        <f>-SUMIF('1.3 FY2018'!$B:$B,'2.1 Database'!$B35,'1.3 FY2018'!$F:$F)</f>
        <v>0</v>
      </c>
      <c r="I35" s="2" t="str">
        <f>VLOOKUP($C35,'2.3 Mapping'!$B$4:$C$49,2,FALSE)</f>
        <v>Services</v>
      </c>
      <c r="J35" s="21">
        <f>COUNTIF('2.2 P&amp;L statement'!$B$4:$B$24,'2.1 Database'!I35)</f>
        <v>1</v>
      </c>
    </row>
    <row r="36" spans="2:10" x14ac:dyDescent="0.25">
      <c r="B36" s="5" t="s">
        <v>154</v>
      </c>
      <c r="C36" s="5" t="str">
        <f>VLOOKUP($B36,'1.1 FY2016'!$B$4:$E$92,2,FALSE)</f>
        <v>Service expenses</v>
      </c>
      <c r="D36" s="5">
        <f>VLOOKUP($B36,'1.1 FY2016'!$B$4:$E$92,3,FALSE)</f>
        <v>111111</v>
      </c>
      <c r="E36" s="5" t="str">
        <f>VLOOKUP($B36,'1.1 FY2016'!$B$4:$E$92,4,FALSE)</f>
        <v>External</v>
      </c>
      <c r="F36" s="5">
        <f>-SUMIF('1.1 FY2016'!$B:$B,'2.1 Database'!$B36,'1.1 FY2016'!$F:$F)</f>
        <v>-2081304.3219999997</v>
      </c>
      <c r="G36" s="5">
        <f>-SUMIF('1.2 FY2017'!$B:$B,'2.1 Database'!$B36,'1.2 FY2017'!$F:$F)</f>
        <v>-1130021</v>
      </c>
      <c r="H36" s="5">
        <f>-SUMIF('1.3 FY2018'!$B:$B,'2.1 Database'!$B36,'1.3 FY2018'!$F:$F)</f>
        <v>-1481408.47</v>
      </c>
      <c r="I36" s="2" t="str">
        <f>VLOOKUP($C36,'2.3 Mapping'!$B$4:$C$49,2,FALSE)</f>
        <v>Services</v>
      </c>
      <c r="J36" s="21">
        <f>COUNTIF('2.2 P&amp;L statement'!$B$4:$B$24,'2.1 Database'!I36)</f>
        <v>1</v>
      </c>
    </row>
    <row r="37" spans="2:10" x14ac:dyDescent="0.25">
      <c r="B37" s="5" t="s">
        <v>155</v>
      </c>
      <c r="C37" s="5" t="str">
        <f>VLOOKUP($B37,'1.1 FY2016'!$B$4:$E$92,2,FALSE)</f>
        <v>Charges and contributions</v>
      </c>
      <c r="D37" s="5">
        <f>VLOOKUP($B37,'1.1 FY2016'!$B$4:$E$92,3,FALSE)</f>
        <v>111111</v>
      </c>
      <c r="E37" s="5" t="str">
        <f>VLOOKUP($B37,'1.1 FY2016'!$B$4:$E$92,4,FALSE)</f>
        <v>External</v>
      </c>
      <c r="F37" s="5">
        <f>-SUMIF('1.1 FY2016'!$B:$B,'2.1 Database'!$B37,'1.1 FY2016'!$F:$F)</f>
        <v>-33410.031999999999</v>
      </c>
      <c r="G37" s="5">
        <f>-SUMIF('1.2 FY2017'!$B:$B,'2.1 Database'!$B37,'1.2 FY2017'!$F:$F)</f>
        <v>-7293.5450000000001</v>
      </c>
      <c r="H37" s="5">
        <f>-SUMIF('1.3 FY2018'!$B:$B,'2.1 Database'!$B37,'1.3 FY2018'!$F:$F)</f>
        <v>-40048.799999999996</v>
      </c>
      <c r="I37" s="2" t="str">
        <f>VLOOKUP($C37,'2.3 Mapping'!$B$4:$C$49,2,FALSE)</f>
        <v>Other operating expenses</v>
      </c>
      <c r="J37" s="21">
        <f>COUNTIF('2.2 P&amp;L statement'!$B$4:$B$24,'2.1 Database'!I37)</f>
        <v>1</v>
      </c>
    </row>
    <row r="38" spans="2:10" x14ac:dyDescent="0.25">
      <c r="B38" s="5" t="s">
        <v>156</v>
      </c>
      <c r="C38" s="5" t="str">
        <f>VLOOKUP($B38,'1.1 FY2016'!$B$4:$E$92,2,FALSE)</f>
        <v>Insurance expenses</v>
      </c>
      <c r="D38" s="5">
        <f>VLOOKUP($B38,'1.1 FY2016'!$B$4:$E$92,3,FALSE)</f>
        <v>111111</v>
      </c>
      <c r="E38" s="5" t="str">
        <f>VLOOKUP($B38,'1.1 FY2016'!$B$4:$E$92,4,FALSE)</f>
        <v>External</v>
      </c>
      <c r="F38" s="5">
        <f>-SUMIF('1.1 FY2016'!$B:$B,'2.1 Database'!$B38,'1.1 FY2016'!$F:$F)</f>
        <v>-213090.85199999998</v>
      </c>
      <c r="G38" s="5">
        <f>-SUMIF('1.2 FY2017'!$B:$B,'2.1 Database'!$B38,'1.2 FY2017'!$F:$F)</f>
        <v>-48468.665000000001</v>
      </c>
      <c r="H38" s="5">
        <f>-SUMIF('1.3 FY2018'!$B:$B,'2.1 Database'!$B38,'1.3 FY2018'!$F:$F)</f>
        <v>-64039.82699999999</v>
      </c>
      <c r="I38" s="2" t="str">
        <f>VLOOKUP($C38,'2.3 Mapping'!$B$4:$C$49,2,FALSE)</f>
        <v>Other operating expenses</v>
      </c>
      <c r="J38" s="21">
        <f>COUNTIF('2.2 P&amp;L statement'!$B$4:$B$24,'2.1 Database'!I38)</f>
        <v>1</v>
      </c>
    </row>
    <row r="39" spans="2:10" x14ac:dyDescent="0.25">
      <c r="B39" s="5" t="s">
        <v>157</v>
      </c>
      <c r="C39" s="5" t="str">
        <f>VLOOKUP($B39,'1.1 FY2016'!$B$4:$E$92,2,FALSE)</f>
        <v>Travel expenses</v>
      </c>
      <c r="D39" s="5">
        <f>VLOOKUP($B39,'1.1 FY2016'!$B$4:$E$92,3,FALSE)</f>
        <v>111111</v>
      </c>
      <c r="E39" s="5" t="str">
        <f>VLOOKUP($B39,'1.1 FY2016'!$B$4:$E$92,4,FALSE)</f>
        <v>External</v>
      </c>
      <c r="F39" s="5">
        <f>-SUMIF('1.1 FY2016'!$B:$B,'2.1 Database'!$B39,'1.1 FY2016'!$F:$F)</f>
        <v>-1813525.004</v>
      </c>
      <c r="G39" s="5">
        <f>-SUMIF('1.2 FY2017'!$B:$B,'2.1 Database'!$B39,'1.2 FY2017'!$F:$F)</f>
        <v>-2393259.19</v>
      </c>
      <c r="H39" s="5">
        <f>-SUMIF('1.3 FY2018'!$B:$B,'2.1 Database'!$B39,'1.3 FY2018'!$F:$F)</f>
        <v>-2514431.8869999996</v>
      </c>
      <c r="I39" s="2" t="str">
        <f>VLOOKUP($C39,'2.3 Mapping'!$B$4:$C$49,2,FALSE)</f>
        <v>Travel costs</v>
      </c>
      <c r="J39" s="21">
        <f>COUNTIF('2.2 P&amp;L statement'!$B$4:$B$24,'2.1 Database'!I39)</f>
        <v>1</v>
      </c>
    </row>
    <row r="40" spans="2:10" x14ac:dyDescent="0.25">
      <c r="B40" s="5" t="s">
        <v>158</v>
      </c>
      <c r="C40" s="5" t="str">
        <f>VLOOKUP($B40,'1.1 FY2016'!$B$4:$E$92,2,FALSE)</f>
        <v>Utility expenses</v>
      </c>
      <c r="D40" s="5">
        <f>VLOOKUP($B40,'1.1 FY2016'!$B$4:$E$92,3,FALSE)</f>
        <v>111111</v>
      </c>
      <c r="E40" s="5" t="str">
        <f>VLOOKUP($B40,'1.1 FY2016'!$B$4:$E$92,4,FALSE)</f>
        <v>External</v>
      </c>
      <c r="F40" s="5">
        <f>-SUMIF('1.1 FY2016'!$B:$B,'2.1 Database'!$B40,'1.1 FY2016'!$F:$F)</f>
        <v>-5552.2</v>
      </c>
      <c r="G40" s="5">
        <f>-SUMIF('1.2 FY2017'!$B:$B,'2.1 Database'!$B40,'1.2 FY2017'!$F:$F)</f>
        <v>-23069.654999999999</v>
      </c>
      <c r="H40" s="5">
        <f>-SUMIF('1.3 FY2018'!$B:$B,'2.1 Database'!$B40,'1.3 FY2018'!$F:$F)</f>
        <v>-4194.2999999999993</v>
      </c>
      <c r="I40" s="2" t="str">
        <f>VLOOKUP($C40,'2.3 Mapping'!$B$4:$C$49,2,FALSE)</f>
        <v>Other operating expenses</v>
      </c>
      <c r="J40" s="21">
        <f>COUNTIF('2.2 P&amp;L statement'!$B$4:$B$24,'2.1 Database'!I40)</f>
        <v>1</v>
      </c>
    </row>
    <row r="41" spans="2:10" x14ac:dyDescent="0.25">
      <c r="B41" s="5" t="s">
        <v>159</v>
      </c>
      <c r="C41" s="5" t="str">
        <f>VLOOKUP($B41,'1.1 FY2016'!$B$4:$E$92,2,FALSE)</f>
        <v>Legal expenses</v>
      </c>
      <c r="D41" s="5">
        <f>VLOOKUP($B41,'1.1 FY2016'!$B$4:$E$92,3,FALSE)</f>
        <v>111111</v>
      </c>
      <c r="E41" s="5" t="str">
        <f>VLOOKUP($B41,'1.1 FY2016'!$B$4:$E$92,4,FALSE)</f>
        <v>External</v>
      </c>
      <c r="F41" s="5">
        <f>-SUMIF('1.1 FY2016'!$B:$B,'2.1 Database'!$B41,'1.1 FY2016'!$F:$F)</f>
        <v>-43868.975999999995</v>
      </c>
      <c r="G41" s="5">
        <f>-SUMIF('1.2 FY2017'!$B:$B,'2.1 Database'!$B41,'1.2 FY2017'!$F:$F)</f>
        <v>-208366.935</v>
      </c>
      <c r="H41" s="5">
        <f>-SUMIF('1.3 FY2018'!$B:$B,'2.1 Database'!$B41,'1.3 FY2018'!$F:$F)</f>
        <v>-106525.708</v>
      </c>
      <c r="I41" s="2" t="str">
        <f>VLOOKUP($C41,'2.3 Mapping'!$B$4:$C$49,2,FALSE)</f>
        <v>Other operating expenses</v>
      </c>
      <c r="J41" s="21">
        <f>COUNTIF('2.2 P&amp;L statement'!$B$4:$B$24,'2.1 Database'!I41)</f>
        <v>1</v>
      </c>
    </row>
    <row r="42" spans="2:10" x14ac:dyDescent="0.25">
      <c r="B42" s="5" t="s">
        <v>160</v>
      </c>
      <c r="C42" s="5" t="str">
        <f>VLOOKUP($B42,'1.1 FY2016'!$B$4:$E$92,2,FALSE)</f>
        <v>Misc costs</v>
      </c>
      <c r="D42" s="5">
        <f>VLOOKUP($B42,'1.1 FY2016'!$B$4:$E$92,3,FALSE)</f>
        <v>111101</v>
      </c>
      <c r="E42" s="5" t="str">
        <f>VLOOKUP($B42,'1.1 FY2016'!$B$4:$E$92,4,FALSE)</f>
        <v>Not assigned</v>
      </c>
      <c r="F42" s="5">
        <f>-SUMIF('1.1 FY2016'!$B:$B,'2.1 Database'!$B42,'1.1 FY2016'!$F:$F)</f>
        <v>-10934.671999999999</v>
      </c>
      <c r="G42" s="5">
        <f>-SUMIF('1.2 FY2017'!$B:$B,'2.1 Database'!$B42,'1.2 FY2017'!$F:$F)</f>
        <v>-20323.309999999998</v>
      </c>
      <c r="H42" s="5">
        <f>-SUMIF('1.3 FY2018'!$B:$B,'2.1 Database'!$B42,'1.3 FY2018'!$F:$F)</f>
        <v>-109811.284</v>
      </c>
      <c r="I42" s="2" t="str">
        <f>VLOOKUP($C42,'2.3 Mapping'!$B$4:$C$49,2,FALSE)</f>
        <v>Other operating expenses</v>
      </c>
      <c r="J42" s="21">
        <f>COUNTIF('2.2 P&amp;L statement'!$B$4:$B$24,'2.1 Database'!I42)</f>
        <v>1</v>
      </c>
    </row>
    <row r="43" spans="2:10" x14ac:dyDescent="0.25">
      <c r="B43" s="5" t="s">
        <v>161</v>
      </c>
      <c r="C43" s="5" t="str">
        <f>VLOOKUP($B43,'1.1 FY2016'!$B$4:$E$92,2,FALSE)</f>
        <v>Consulting fees</v>
      </c>
      <c r="D43" s="5">
        <f>VLOOKUP($B43,'1.1 FY2016'!$B$4:$E$92,3,FALSE)</f>
        <v>111111</v>
      </c>
      <c r="E43" s="5" t="str">
        <f>VLOOKUP($B43,'1.1 FY2016'!$B$4:$E$92,4,FALSE)</f>
        <v>External</v>
      </c>
      <c r="F43" s="5">
        <f>-SUMIF('1.1 FY2016'!$B:$B,'2.1 Database'!$B43,'1.1 FY2016'!$F:$F)</f>
        <v>-20400</v>
      </c>
      <c r="G43" s="5">
        <f>-SUMIF('1.2 FY2017'!$B:$B,'2.1 Database'!$B43,'1.2 FY2017'!$F:$F)</f>
        <v>-169489</v>
      </c>
      <c r="H43" s="5">
        <f>-SUMIF('1.3 FY2018'!$B:$B,'2.1 Database'!$B43,'1.3 FY2018'!$F:$F)</f>
        <v>-61111.483999999997</v>
      </c>
      <c r="I43" s="2" t="str">
        <f>VLOOKUP($C43,'2.3 Mapping'!$B$4:$C$49,2,FALSE)</f>
        <v>Other operating expenses</v>
      </c>
      <c r="J43" s="21">
        <f>COUNTIF('2.2 P&amp;L statement'!$B$4:$B$24,'2.1 Database'!I43)</f>
        <v>1</v>
      </c>
    </row>
    <row r="44" spans="2:10" x14ac:dyDescent="0.25">
      <c r="B44" s="5" t="s">
        <v>162</v>
      </c>
      <c r="C44" s="5" t="str">
        <f>VLOOKUP($B44,'1.1 FY2016'!$B$4:$E$92,2,FALSE)</f>
        <v>Misc extraordinary expenses</v>
      </c>
      <c r="D44" s="5">
        <f>VLOOKUP($B44,'1.1 FY2016'!$B$4:$E$92,3,FALSE)</f>
        <v>105</v>
      </c>
      <c r="E44" s="5" t="str">
        <f>VLOOKUP($B44,'1.1 FY2016'!$B$4:$E$92,4,FALSE)</f>
        <v>Generco Healthcare Ltd</v>
      </c>
      <c r="F44" s="5">
        <f>-SUMIF('1.1 FY2016'!$B:$B,'2.1 Database'!$B44,'1.1 FY2016'!$F:$F)</f>
        <v>0</v>
      </c>
      <c r="G44" s="5">
        <f>-SUMIF('1.2 FY2017'!$B:$B,'2.1 Database'!$B44,'1.2 FY2017'!$F:$F)</f>
        <v>0</v>
      </c>
      <c r="H44" s="5">
        <f>-SUMIF('1.3 FY2018'!$B:$B,'2.1 Database'!$B44,'1.3 FY2018'!$F:$F)</f>
        <v>-1684415.2999999998</v>
      </c>
      <c r="I44" s="2" t="str">
        <f>VLOOKUP($C44,'2.3 Mapping'!$B$4:$C$49,2,FALSE)</f>
        <v>Other operating expenses</v>
      </c>
      <c r="J44" s="21">
        <f>COUNTIF('2.2 P&amp;L statement'!$B$4:$B$24,'2.1 Database'!I44)</f>
        <v>1</v>
      </c>
    </row>
    <row r="45" spans="2:10" x14ac:dyDescent="0.25">
      <c r="B45" s="5" t="s">
        <v>163</v>
      </c>
      <c r="C45" s="5" t="str">
        <f>VLOOKUP($B45,'1.1 FY2016'!$B$4:$E$92,2,FALSE)</f>
        <v>Misc extraordinary expenses</v>
      </c>
      <c r="D45" s="5">
        <f>VLOOKUP($B45,'1.1 FY2016'!$B$4:$E$92,3,FALSE)</f>
        <v>111111</v>
      </c>
      <c r="E45" s="5" t="str">
        <f>VLOOKUP($B45,'1.1 FY2016'!$B$4:$E$92,4,FALSE)</f>
        <v>External</v>
      </c>
      <c r="F45" s="5">
        <f>-SUMIF('1.1 FY2016'!$B:$B,'2.1 Database'!$B45,'1.1 FY2016'!$F:$F)</f>
        <v>-563918.152</v>
      </c>
      <c r="G45" s="5">
        <f>-SUMIF('1.2 FY2017'!$B:$B,'2.1 Database'!$B45,'1.2 FY2017'!$F:$F)</f>
        <v>-638869.13</v>
      </c>
      <c r="H45" s="5">
        <f>-SUMIF('1.3 FY2018'!$B:$B,'2.1 Database'!$B45,'1.3 FY2018'!$F:$F)</f>
        <v>-575626.2649999999</v>
      </c>
      <c r="I45" s="2" t="str">
        <f>VLOOKUP($C45,'2.3 Mapping'!$B$4:$C$49,2,FALSE)</f>
        <v>Other operating expenses</v>
      </c>
      <c r="J45" s="21">
        <f>COUNTIF('2.2 P&amp;L statement'!$B$4:$B$24,'2.1 Database'!I45)</f>
        <v>1</v>
      </c>
    </row>
    <row r="46" spans="2:10" x14ac:dyDescent="0.25">
      <c r="B46" s="5" t="s">
        <v>164</v>
      </c>
      <c r="C46" s="5" t="str">
        <f>VLOOKUP($B46,'1.1 FY2016'!$B$4:$E$92,2,FALSE)</f>
        <v>Difference from eliminations</v>
      </c>
      <c r="D46" s="5">
        <f>VLOOKUP($B46,'1.1 FY2016'!$B$4:$E$92,3,FALSE)</f>
        <v>1009</v>
      </c>
      <c r="E46" s="5" t="str">
        <f>VLOOKUP($B46,'1.1 FY2016'!$B$4:$E$92,4,FALSE)</f>
        <v>Green Ventures Ltd</v>
      </c>
      <c r="F46" s="5">
        <f>-SUMIF('1.1 FY2016'!$B:$B,'2.1 Database'!$B46,'1.1 FY2016'!$F:$F)</f>
        <v>0</v>
      </c>
      <c r="G46" s="5">
        <f>-SUMIF('1.2 FY2017'!$B:$B,'2.1 Database'!$B46,'1.2 FY2017'!$F:$F)</f>
        <v>0</v>
      </c>
      <c r="H46" s="5">
        <f>-SUMIF('1.3 FY2018'!$B:$B,'2.1 Database'!$B46,'1.3 FY2018'!$F:$F)</f>
        <v>0</v>
      </c>
      <c r="I46" s="2" t="str">
        <f>VLOOKUP($C46,'2.3 Mapping'!$B$4:$C$49,2,FALSE)</f>
        <v>-</v>
      </c>
      <c r="J46" s="21">
        <f>COUNTIF('2.2 P&amp;L statement'!$B$4:$B$24,'2.1 Database'!I46)</f>
        <v>0</v>
      </c>
    </row>
    <row r="47" spans="2:10" x14ac:dyDescent="0.25">
      <c r="B47" s="5" t="s">
        <v>165</v>
      </c>
      <c r="C47" s="5" t="str">
        <f>VLOOKUP($B47,'1.1 FY2016'!$B$4:$E$92,2,FALSE)</f>
        <v>Difference from eliminations</v>
      </c>
      <c r="D47" s="5">
        <f>VLOOKUP($B47,'1.1 FY2016'!$B$4:$E$92,3,FALSE)</f>
        <v>1007</v>
      </c>
      <c r="E47" s="5" t="str">
        <f>VLOOKUP($B47,'1.1 FY2016'!$B$4:$E$92,4,FALSE)</f>
        <v>Generco Sunshine JSC</v>
      </c>
      <c r="F47" s="5">
        <f>-SUMIF('1.1 FY2016'!$B:$B,'2.1 Database'!$B47,'1.1 FY2016'!$F:$F)</f>
        <v>0</v>
      </c>
      <c r="G47" s="5">
        <f>-SUMIF('1.2 FY2017'!$B:$B,'2.1 Database'!$B47,'1.2 FY2017'!$F:$F)</f>
        <v>0</v>
      </c>
      <c r="H47" s="5">
        <f>-SUMIF('1.3 FY2018'!$B:$B,'2.1 Database'!$B47,'1.3 FY2018'!$F:$F)</f>
        <v>0</v>
      </c>
      <c r="I47" s="2" t="str">
        <f>VLOOKUP($C47,'2.3 Mapping'!$B$4:$C$49,2,FALSE)</f>
        <v>-</v>
      </c>
      <c r="J47" s="21">
        <f>COUNTIF('2.2 P&amp;L statement'!$B$4:$B$24,'2.1 Database'!I47)</f>
        <v>0</v>
      </c>
    </row>
    <row r="48" spans="2:10" x14ac:dyDescent="0.25">
      <c r="B48" s="5" t="s">
        <v>166</v>
      </c>
      <c r="C48" s="5" t="str">
        <f>VLOOKUP($B48,'1.1 FY2016'!$B$4:$E$92,2,FALSE)</f>
        <v>Difference from eliminations</v>
      </c>
      <c r="D48" s="5">
        <f>VLOOKUP($B48,'1.1 FY2016'!$B$4:$E$92,3,FALSE)</f>
        <v>1008</v>
      </c>
      <c r="E48" s="5" t="str">
        <f>VLOOKUP($B48,'1.1 FY2016'!$B$4:$E$92,4,FALSE)</f>
        <v>Greenco Ltd</v>
      </c>
      <c r="F48" s="5">
        <f>-SUMIF('1.1 FY2016'!$B:$B,'2.1 Database'!$B48,'1.1 FY2016'!$F:$F)</f>
        <v>0</v>
      </c>
      <c r="G48" s="5">
        <f>-SUMIF('1.2 FY2017'!$B:$B,'2.1 Database'!$B48,'1.2 FY2017'!$F:$F)</f>
        <v>0</v>
      </c>
      <c r="H48" s="5">
        <f>-SUMIF('1.3 FY2018'!$B:$B,'2.1 Database'!$B48,'1.3 FY2018'!$F:$F)</f>
        <v>0</v>
      </c>
      <c r="I48" s="2" t="str">
        <f>VLOOKUP($C48,'2.3 Mapping'!$B$4:$C$49,2,FALSE)</f>
        <v>-</v>
      </c>
      <c r="J48" s="21">
        <f>COUNTIF('2.2 P&amp;L statement'!$B$4:$B$24,'2.1 Database'!I48)</f>
        <v>0</v>
      </c>
    </row>
    <row r="49" spans="2:10" x14ac:dyDescent="0.25">
      <c r="B49" s="5" t="s">
        <v>167</v>
      </c>
      <c r="C49" s="5" t="str">
        <f>VLOOKUP($B49,'1.1 FY2016'!$B$4:$E$92,2,FALSE)</f>
        <v>Interest income</v>
      </c>
      <c r="D49" s="5">
        <f>VLOOKUP($B49,'1.1 FY2016'!$B$4:$E$92,3,FALSE)</f>
        <v>1009</v>
      </c>
      <c r="E49" s="5" t="str">
        <f>VLOOKUP($B49,'1.1 FY2016'!$B$4:$E$92,4,FALSE)</f>
        <v>Green Ventures Ltd</v>
      </c>
      <c r="F49" s="5">
        <f>-SUMIF('1.1 FY2016'!$B:$B,'2.1 Database'!$B49,'1.1 FY2016'!$F:$F)</f>
        <v>0</v>
      </c>
      <c r="G49" s="5">
        <f>-SUMIF('1.2 FY2017'!$B:$B,'2.1 Database'!$B49,'1.2 FY2017'!$F:$F)</f>
        <v>0</v>
      </c>
      <c r="H49" s="5">
        <f>-SUMIF('1.3 FY2018'!$B:$B,'2.1 Database'!$B49,'1.3 FY2018'!$F:$F)</f>
        <v>0</v>
      </c>
      <c r="I49" s="2" t="str">
        <f>VLOOKUP($C49,'2.3 Mapping'!$B$4:$C$49,2,FALSE)</f>
        <v>Financial items</v>
      </c>
      <c r="J49" s="21">
        <f>COUNTIF('2.2 P&amp;L statement'!$B$4:$B$24,'2.1 Database'!I49)</f>
        <v>1</v>
      </c>
    </row>
    <row r="50" spans="2:10" x14ac:dyDescent="0.25">
      <c r="B50" s="5" t="s">
        <v>168</v>
      </c>
      <c r="C50" s="5" t="str">
        <f>VLOOKUP($B50,'1.1 FY2016'!$B$4:$E$92,2,FALSE)</f>
        <v>Interest income</v>
      </c>
      <c r="D50" s="5">
        <f>VLOOKUP($B50,'1.1 FY2016'!$B$4:$E$92,3,FALSE)</f>
        <v>1007</v>
      </c>
      <c r="E50" s="5" t="str">
        <f>VLOOKUP($B50,'1.1 FY2016'!$B$4:$E$92,4,FALSE)</f>
        <v>Generco Sunshine JSC</v>
      </c>
      <c r="F50" s="5">
        <f>-SUMIF('1.1 FY2016'!$B:$B,'2.1 Database'!$B50,'1.1 FY2016'!$F:$F)</f>
        <v>0</v>
      </c>
      <c r="G50" s="5">
        <f>-SUMIF('1.2 FY2017'!$B:$B,'2.1 Database'!$B50,'1.2 FY2017'!$F:$F)</f>
        <v>0</v>
      </c>
      <c r="H50" s="5">
        <f>-SUMIF('1.3 FY2018'!$B:$B,'2.1 Database'!$B50,'1.3 FY2018'!$F:$F)</f>
        <v>0</v>
      </c>
      <c r="I50" s="2" t="str">
        <f>VLOOKUP($C50,'2.3 Mapping'!$B$4:$C$49,2,FALSE)</f>
        <v>Financial items</v>
      </c>
      <c r="J50" s="21">
        <f>COUNTIF('2.2 P&amp;L statement'!$B$4:$B$24,'2.1 Database'!I50)</f>
        <v>1</v>
      </c>
    </row>
    <row r="51" spans="2:10" x14ac:dyDescent="0.25">
      <c r="B51" s="5" t="s">
        <v>169</v>
      </c>
      <c r="C51" s="5" t="str">
        <f>VLOOKUP($B51,'1.1 FY2016'!$B$4:$E$92,2,FALSE)</f>
        <v>Interest income</v>
      </c>
      <c r="D51" s="5">
        <f>VLOOKUP($B51,'1.1 FY2016'!$B$4:$E$92,3,FALSE)</f>
        <v>1008</v>
      </c>
      <c r="E51" s="5" t="str">
        <f>VLOOKUP($B51,'1.1 FY2016'!$B$4:$E$92,4,FALSE)</f>
        <v>Greenco Ltd</v>
      </c>
      <c r="F51" s="5">
        <f>-SUMIF('1.1 FY2016'!$B:$B,'2.1 Database'!$B51,'1.1 FY2016'!$F:$F)</f>
        <v>0</v>
      </c>
      <c r="G51" s="5">
        <f>-SUMIF('1.2 FY2017'!$B:$B,'2.1 Database'!$B51,'1.2 FY2017'!$F:$F)</f>
        <v>0</v>
      </c>
      <c r="H51" s="5">
        <f>-SUMIF('1.3 FY2018'!$B:$B,'2.1 Database'!$B51,'1.3 FY2018'!$F:$F)</f>
        <v>0</v>
      </c>
      <c r="I51" s="2" t="str">
        <f>VLOOKUP($C51,'2.3 Mapping'!$B$4:$C$49,2,FALSE)</f>
        <v>Financial items</v>
      </c>
      <c r="J51" s="21">
        <f>COUNTIF('2.2 P&amp;L statement'!$B$4:$B$24,'2.1 Database'!I51)</f>
        <v>1</v>
      </c>
    </row>
    <row r="52" spans="2:10" x14ac:dyDescent="0.25">
      <c r="B52" s="5" t="s">
        <v>170</v>
      </c>
      <c r="C52" s="5" t="str">
        <f>VLOOKUP($B52,'1.1 FY2016'!$B$4:$E$92,2,FALSE)</f>
        <v>Interest income</v>
      </c>
      <c r="D52" s="5">
        <f>VLOOKUP($B52,'1.1 FY2016'!$B$4:$E$92,3,FALSE)</f>
        <v>1240</v>
      </c>
      <c r="E52" s="5" t="str">
        <f>VLOOKUP($B52,'1.1 FY2016'!$B$4:$E$92,4,FALSE)</f>
        <v xml:space="preserve">Generco UK </v>
      </c>
      <c r="F52" s="5">
        <f>-SUMIF('1.1 FY2016'!$B:$B,'2.1 Database'!$B52,'1.1 FY2016'!$F:$F)</f>
        <v>35810.228000000003</v>
      </c>
      <c r="G52" s="5">
        <f>-SUMIF('1.2 FY2017'!$B:$B,'2.1 Database'!$B52,'1.2 FY2017'!$F:$F)</f>
        <v>34224.959999999999</v>
      </c>
      <c r="H52" s="5">
        <f>-SUMIF('1.3 FY2018'!$B:$B,'2.1 Database'!$B52,'1.3 FY2018'!$F:$F)</f>
        <v>0</v>
      </c>
      <c r="I52" s="2" t="str">
        <f>VLOOKUP($C52,'2.3 Mapping'!$B$4:$C$49,2,FALSE)</f>
        <v>Financial items</v>
      </c>
      <c r="J52" s="21">
        <f>COUNTIF('2.2 P&amp;L statement'!$B$4:$B$24,'2.1 Database'!I52)</f>
        <v>1</v>
      </c>
    </row>
    <row r="53" spans="2:10" x14ac:dyDescent="0.25">
      <c r="B53" s="5" t="s">
        <v>171</v>
      </c>
      <c r="C53" s="5" t="str">
        <f>VLOOKUP($B53,'1.1 FY2016'!$B$4:$E$92,2,FALSE)</f>
        <v>Interest income</v>
      </c>
      <c r="D53" s="5">
        <f>VLOOKUP($B53,'1.1 FY2016'!$B$4:$E$92,3,FALSE)</f>
        <v>111111</v>
      </c>
      <c r="E53" s="5" t="str">
        <f>VLOOKUP($B53,'1.1 FY2016'!$B$4:$E$92,4,FALSE)</f>
        <v>External</v>
      </c>
      <c r="F53" s="5">
        <f>-SUMIF('1.1 FY2016'!$B:$B,'2.1 Database'!$B53,'1.1 FY2016'!$F:$F)</f>
        <v>51927.417999999998</v>
      </c>
      <c r="G53" s="5">
        <f>-SUMIF('1.2 FY2017'!$B:$B,'2.1 Database'!$B53,'1.2 FY2017'!$F:$F)</f>
        <v>2204.7199999999998</v>
      </c>
      <c r="H53" s="5">
        <f>-SUMIF('1.3 FY2018'!$B:$B,'2.1 Database'!$B53,'1.3 FY2018'!$F:$F)</f>
        <v>73809.511999999988</v>
      </c>
      <c r="I53" s="2" t="str">
        <f>VLOOKUP($C53,'2.3 Mapping'!$B$4:$C$49,2,FALSE)</f>
        <v>Financial items</v>
      </c>
      <c r="J53" s="21">
        <f>COUNTIF('2.2 P&amp;L statement'!$B$4:$B$24,'2.1 Database'!I53)</f>
        <v>1</v>
      </c>
    </row>
    <row r="54" spans="2:10" x14ac:dyDescent="0.25">
      <c r="B54" s="5" t="s">
        <v>172</v>
      </c>
      <c r="C54" s="5" t="str">
        <f>VLOOKUP($B54,'1.1 FY2016'!$B$4:$E$92,2,FALSE)</f>
        <v>Capitalized interest</v>
      </c>
      <c r="D54" s="5">
        <f>VLOOKUP($B54,'1.1 FY2016'!$B$4:$E$92,3,FALSE)</f>
        <v>111101</v>
      </c>
      <c r="E54" s="5" t="str">
        <f>VLOOKUP($B54,'1.1 FY2016'!$B$4:$E$92,4,FALSE)</f>
        <v>Not assigned</v>
      </c>
      <c r="F54" s="5">
        <f>-SUMIF('1.1 FY2016'!$B:$B,'2.1 Database'!$B54,'1.1 FY2016'!$F:$F)</f>
        <v>862270.63399999996</v>
      </c>
      <c r="G54" s="5">
        <f>-SUMIF('1.2 FY2017'!$B:$B,'2.1 Database'!$B54,'1.2 FY2017'!$F:$F)</f>
        <v>0</v>
      </c>
      <c r="H54" s="5">
        <f>-SUMIF('1.3 FY2018'!$B:$B,'2.1 Database'!$B54,'1.3 FY2018'!$F:$F)</f>
        <v>0</v>
      </c>
      <c r="I54" s="2" t="str">
        <f>VLOOKUP($C54,'2.3 Mapping'!$B$4:$C$49,2,FALSE)</f>
        <v>Capitalized costs</v>
      </c>
      <c r="J54" s="21">
        <f>COUNTIF('2.2 P&amp;L statement'!$B$4:$B$24,'2.1 Database'!I54)</f>
        <v>1</v>
      </c>
    </row>
    <row r="55" spans="2:10" x14ac:dyDescent="0.25">
      <c r="B55" s="5" t="s">
        <v>173</v>
      </c>
      <c r="C55" s="5" t="str">
        <f>VLOOKUP($B55,'1.1 FY2016'!$B$4:$E$92,2,FALSE)</f>
        <v>Non-recurring costs</v>
      </c>
      <c r="D55" s="5">
        <f>VLOOKUP($B55,'1.1 FY2016'!$B$4:$E$92,3,FALSE)</f>
        <v>111101</v>
      </c>
      <c r="E55" s="5" t="str">
        <f>VLOOKUP($B55,'1.1 FY2016'!$B$4:$E$92,4,FALSE)</f>
        <v>Not assigned</v>
      </c>
      <c r="F55" s="5">
        <f>-SUMIF('1.1 FY2016'!$B:$B,'2.1 Database'!$B55,'1.1 FY2016'!$F:$F)</f>
        <v>-22763</v>
      </c>
      <c r="G55" s="5">
        <f>-SUMIF('1.2 FY2017'!$B:$B,'2.1 Database'!$B55,'1.2 FY2017'!$F:$F)</f>
        <v>-80617.179999999993</v>
      </c>
      <c r="H55" s="5">
        <f>-SUMIF('1.3 FY2018'!$B:$B,'2.1 Database'!$B55,'1.3 FY2018'!$F:$F)</f>
        <v>-7173.195999999999</v>
      </c>
      <c r="I55" s="2" t="str">
        <f>VLOOKUP($C55,'2.3 Mapping'!$B$4:$C$49,2,FALSE)</f>
        <v>Extraordinary items</v>
      </c>
      <c r="J55" s="21">
        <f>COUNTIF('2.2 P&amp;L statement'!$B$4:$B$24,'2.1 Database'!I55)</f>
        <v>1</v>
      </c>
    </row>
    <row r="56" spans="2:10" x14ac:dyDescent="0.25">
      <c r="B56" s="5" t="s">
        <v>174</v>
      </c>
      <c r="C56" s="5" t="str">
        <f>VLOOKUP($B56,'1.1 FY2016'!$B$4:$E$92,2,FALSE)</f>
        <v>Interest expenses</v>
      </c>
      <c r="D56" s="5">
        <f>VLOOKUP($B56,'1.1 FY2016'!$B$4:$E$92,3,FALSE)</f>
        <v>88</v>
      </c>
      <c r="E56" s="5" t="str">
        <f>VLOOKUP($B56,'1.1 FY2016'!$B$4:$E$92,4,FALSE)</f>
        <v>Generco Ltd</v>
      </c>
      <c r="F56" s="5">
        <f>-SUMIF('1.1 FY2016'!$B:$B,'2.1 Database'!$B56,'1.1 FY2016'!$F:$F)</f>
        <v>-2930430.0120000001</v>
      </c>
      <c r="G56" s="5">
        <f>-SUMIF('1.2 FY2017'!$B:$B,'2.1 Database'!$B56,'1.2 FY2017'!$F:$F)</f>
        <v>-2752704.22</v>
      </c>
      <c r="H56" s="5">
        <f>-SUMIF('1.3 FY2018'!$B:$B,'2.1 Database'!$B56,'1.3 FY2018'!$F:$F)</f>
        <v>-2324465.8859999999</v>
      </c>
      <c r="I56" s="2" t="str">
        <f>VLOOKUP($C56,'2.3 Mapping'!$B$4:$C$49,2,FALSE)</f>
        <v>Financial items</v>
      </c>
      <c r="J56" s="21">
        <f>COUNTIF('2.2 P&amp;L statement'!$B$4:$B$24,'2.1 Database'!I56)</f>
        <v>1</v>
      </c>
    </row>
    <row r="57" spans="2:10" x14ac:dyDescent="0.25">
      <c r="B57" s="5" t="s">
        <v>175</v>
      </c>
      <c r="C57" s="5" t="str">
        <f>VLOOKUP($B57,'1.1 FY2016'!$B$4:$E$92,2,FALSE)</f>
        <v>Current taxes</v>
      </c>
      <c r="D57" s="5">
        <f>VLOOKUP($B57,'1.1 FY2016'!$B$4:$E$92,3,FALSE)</f>
        <v>111101</v>
      </c>
      <c r="E57" s="5" t="str">
        <f>VLOOKUP($B57,'1.1 FY2016'!$B$4:$E$92,4,FALSE)</f>
        <v>Not assigned</v>
      </c>
      <c r="F57" s="5">
        <f>-SUMIF('1.1 FY2016'!$B:$B,'2.1 Database'!$B57,'1.1 FY2016'!$F:$F)</f>
        <v>49378.641999999993</v>
      </c>
      <c r="G57" s="5">
        <f>-SUMIF('1.2 FY2017'!$B:$B,'2.1 Database'!$B57,'1.2 FY2017'!$F:$F)</f>
        <v>-496748.70000000007</v>
      </c>
      <c r="H57" s="5">
        <f>-SUMIF('1.3 FY2018'!$B:$B,'2.1 Database'!$B57,'1.3 FY2018'!$F:$F)</f>
        <v>-2558.1950000000002</v>
      </c>
      <c r="I57" s="2" t="str">
        <f>VLOOKUP($C57,'2.3 Mapping'!$B$4:$C$49,2,FALSE)</f>
        <v>Taxes</v>
      </c>
      <c r="J57" s="21">
        <f>COUNTIF('2.2 P&amp;L statement'!$B$4:$B$24,'2.1 Database'!I57)</f>
        <v>1</v>
      </c>
    </row>
    <row r="58" spans="2:10" x14ac:dyDescent="0.25">
      <c r="B58" s="5" t="s">
        <v>176</v>
      </c>
      <c r="C58" s="5" t="str">
        <f>VLOOKUP($B58,'1.1 FY2016'!$B$4:$E$92,2,FALSE)</f>
        <v>Regional taxes</v>
      </c>
      <c r="D58" s="5">
        <f>VLOOKUP($B58,'1.1 FY2016'!$B$4:$E$92,3,FALSE)</f>
        <v>111101</v>
      </c>
      <c r="E58" s="5" t="str">
        <f>VLOOKUP($B58,'1.1 FY2016'!$B$4:$E$92,4,FALSE)</f>
        <v>Not assigned</v>
      </c>
      <c r="F58" s="5">
        <f>-SUMIF('1.1 FY2016'!$B:$B,'2.1 Database'!$B58,'1.1 FY2016'!$F:$F)</f>
        <v>-516250.67</v>
      </c>
      <c r="G58" s="5">
        <f>-SUMIF('1.2 FY2017'!$B:$B,'2.1 Database'!$B58,'1.2 FY2017'!$F:$F)</f>
        <v>-480872.96000000002</v>
      </c>
      <c r="H58" s="5">
        <f>-SUMIF('1.3 FY2018'!$B:$B,'2.1 Database'!$B58,'1.3 FY2018'!$F:$F)</f>
        <v>-522710.353</v>
      </c>
      <c r="I58" s="2" t="str">
        <f>VLOOKUP($C58,'2.3 Mapping'!$B$4:$C$49,2,FALSE)</f>
        <v>Taxes</v>
      </c>
      <c r="J58" s="21">
        <f>COUNTIF('2.2 P&amp;L statement'!$B$4:$B$24,'2.1 Database'!I58)</f>
        <v>1</v>
      </c>
    </row>
    <row r="59" spans="2:10" x14ac:dyDescent="0.25">
      <c r="B59" s="5" t="s">
        <v>177</v>
      </c>
      <c r="C59" s="5" t="str">
        <f>VLOOKUP($B59,'1.1 FY2016'!$B$4:$E$92,2,FALSE)</f>
        <v>Deferred taxes</v>
      </c>
      <c r="D59" s="5">
        <f>VLOOKUP($B59,'1.1 FY2016'!$B$4:$E$92,3,FALSE)</f>
        <v>111101</v>
      </c>
      <c r="E59" s="5" t="str">
        <f>VLOOKUP($B59,'1.1 FY2016'!$B$4:$E$92,4,FALSE)</f>
        <v>Not assigned</v>
      </c>
      <c r="F59" s="5">
        <f>-SUMIF('1.1 FY2016'!$B:$B,'2.1 Database'!$B59,'1.1 FY2016'!$F:$F)</f>
        <v>-21593.093999999997</v>
      </c>
      <c r="G59" s="5">
        <f>-SUMIF('1.2 FY2017'!$B:$B,'2.1 Database'!$B59,'1.2 FY2017'!$F:$F)</f>
        <v>-6570.3050000000003</v>
      </c>
      <c r="H59" s="5">
        <f>-SUMIF('1.3 FY2018'!$B:$B,'2.1 Database'!$B59,'1.3 FY2018'!$F:$F)</f>
        <v>160303.52199999997</v>
      </c>
      <c r="I59" s="2" t="str">
        <f>VLOOKUP($C59,'2.3 Mapping'!$B$4:$C$49,2,FALSE)</f>
        <v>Taxes</v>
      </c>
      <c r="J59" s="21">
        <f>COUNTIF('2.2 P&amp;L statement'!$B$4:$B$24,'2.1 Database'!I59)</f>
        <v>1</v>
      </c>
    </row>
    <row r="60" spans="2:10" x14ac:dyDescent="0.25">
      <c r="B60" s="5" t="s">
        <v>178</v>
      </c>
      <c r="C60" s="5" t="str">
        <f>VLOOKUP($B60,'1.1 FY2016'!$B$4:$E$92,2,FALSE)</f>
        <v>Net income/(loss)</v>
      </c>
      <c r="D60" s="5">
        <f>VLOOKUP($B60,'1.1 FY2016'!$B$4:$E$92,3,FALSE)</f>
        <v>111101</v>
      </c>
      <c r="E60" s="5" t="str">
        <f>VLOOKUP($B60,'1.1 FY2016'!$B$4:$E$92,4,FALSE)</f>
        <v>Not assigned</v>
      </c>
      <c r="F60" s="5">
        <f>SUMIF('1.1 FY2016'!$B:$B,'2.1 Database'!$B60,'1.1 FY2016'!$F:$F)</f>
        <v>-2904117.9939999986</v>
      </c>
      <c r="G60" s="5">
        <f>SUMIF('1.2 FY2017'!$B:$B,'2.1 Database'!$B60,'1.2 FY2017'!$F:$F)</f>
        <v>0</v>
      </c>
      <c r="H60" s="5">
        <f>SUMIF('1.3 FY2018'!$B:$B,'2.1 Database'!$B60,'1.3 FY2018'!$F:$F)</f>
        <v>0</v>
      </c>
      <c r="I60" s="2" t="str">
        <f>VLOOKUP($C60,'2.3 Mapping'!$B$4:$C$49,2,FALSE)</f>
        <v>Net Income</v>
      </c>
      <c r="J60" s="21">
        <f>COUNTIF('2.2 P&amp;L statement'!$B$4:$B$24,'2.1 Database'!I60)</f>
        <v>1</v>
      </c>
    </row>
    <row r="61" spans="2:10" x14ac:dyDescent="0.25">
      <c r="B61" s="5" t="s">
        <v>121</v>
      </c>
      <c r="C61" s="5" t="str">
        <f>VLOOKUP($B61,'1.2 FY2017'!$B$4:$E$126,2,FALSE)</f>
        <v>Core business revenues</v>
      </c>
      <c r="D61" s="5">
        <f>VLOOKUP($B61,'1.2 FY2017'!$B$4:$E$126,3,FALSE)</f>
        <v>105</v>
      </c>
      <c r="E61" s="5" t="str">
        <f>VLOOKUP($B61,'1.2 FY2017'!$B$4:$E$126,4,FALSE)</f>
        <v>Generco Healthcare Ltd</v>
      </c>
      <c r="F61" s="5">
        <f>-SUMIF('1.1 FY2016'!$B:$B,'2.1 Database'!$B61,'1.1 FY2016'!$F:$F)</f>
        <v>0</v>
      </c>
      <c r="G61" s="5">
        <f>-SUMIF('1.2 FY2017'!$B:$B,'2.1 Database'!$B61,'1.2 FY2017'!$F:$F)</f>
        <v>355396.61499999999</v>
      </c>
      <c r="H61" s="5">
        <f>-SUMIF('1.3 FY2018'!$B:$B,'2.1 Database'!$B61,'1.3 FY2018'!$F:$F)</f>
        <v>616462.01899999997</v>
      </c>
      <c r="I61" s="2" t="str">
        <f>VLOOKUP($C61,'2.3 Mapping'!$B$4:$C$49,2,FALSE)</f>
        <v>Net Sales</v>
      </c>
      <c r="J61" s="21">
        <f>COUNTIF('2.2 P&amp;L statement'!$B$4:$B$24,'2.1 Database'!I61)</f>
        <v>1</v>
      </c>
    </row>
    <row r="62" spans="2:10" x14ac:dyDescent="0.25">
      <c r="B62" s="5" t="s">
        <v>179</v>
      </c>
      <c r="C62" s="5" t="str">
        <f>VLOOKUP($B62,'1.2 FY2017'!B5:E127,2,FALSE)</f>
        <v>Capitalized costs</v>
      </c>
      <c r="D62" s="5" t="str">
        <f>VLOOKUP($B62,'1.2 FY2017'!$B$4:$E$126,3,FALSE)</f>
        <v>1086</v>
      </c>
      <c r="E62" s="5" t="str">
        <f>VLOOKUP($B62,'1.2 FY2017'!$B$4:$E$126,4,FALSE)</f>
        <v>G&amp;Resources Ltd</v>
      </c>
      <c r="F62" s="5">
        <f>-SUMIF('1.1 FY2016'!$B:$B,'2.1 Database'!$B62,'1.1 FY2016'!$F:$F)</f>
        <v>0</v>
      </c>
      <c r="G62" s="5">
        <f>-SUMIF('1.2 FY2017'!$B:$B,'2.1 Database'!$B62,'1.2 FY2017'!$F:$F)</f>
        <v>420017.14999999997</v>
      </c>
      <c r="H62" s="5">
        <f>-SUMIF('1.3 FY2018'!$B:$B,'2.1 Database'!$B62,'1.3 FY2018'!$F:$F)</f>
        <v>0</v>
      </c>
      <c r="I62" s="2" t="str">
        <f>VLOOKUP($C62,'2.3 Mapping'!$B$4:$C$49,2,FALSE)</f>
        <v>Capitalized costs</v>
      </c>
      <c r="J62" s="21">
        <f>COUNTIF('2.2 P&amp;L statement'!$B$4:$B$24,'2.1 Database'!I62)</f>
        <v>1</v>
      </c>
    </row>
    <row r="63" spans="2:10" x14ac:dyDescent="0.25">
      <c r="B63" s="5" t="s">
        <v>180</v>
      </c>
      <c r="C63" s="5" t="str">
        <f>VLOOKUP($B63,'1.2 FY2017'!B6:E128,2,FALSE)</f>
        <v>Utility charges</v>
      </c>
      <c r="D63" s="5">
        <f>VLOOKUP($B63,'1.2 FY2017'!$B$4:$E$126,3,FALSE)</f>
        <v>111111</v>
      </c>
      <c r="E63" s="5" t="str">
        <f>VLOOKUP($B63,'1.2 FY2017'!$B$4:$E$126,4,FALSE)</f>
        <v>External</v>
      </c>
      <c r="F63" s="5">
        <f>-SUMIF('1.1 FY2016'!$B:$B,'2.1 Database'!$B63,'1.1 FY2016'!$F:$F)</f>
        <v>0</v>
      </c>
      <c r="G63" s="5">
        <f>-SUMIF('1.2 FY2017'!$B:$B,'2.1 Database'!$B63,'1.2 FY2017'!$F:$F)</f>
        <v>-14589.33</v>
      </c>
      <c r="H63" s="5">
        <f>-SUMIF('1.3 FY2018'!$B:$B,'2.1 Database'!$B63,'1.3 FY2018'!$F:$F)</f>
        <v>-20504.509999999998</v>
      </c>
      <c r="I63" s="2" t="str">
        <f>VLOOKUP($C63,'2.3 Mapping'!$B$4:$C$49,2,FALSE)</f>
        <v>Other operating expenses</v>
      </c>
      <c r="J63" s="21">
        <f>COUNTIF('2.2 P&amp;L statement'!$B$4:$B$24,'2.1 Database'!I63)</f>
        <v>1</v>
      </c>
    </row>
    <row r="64" spans="2:10" x14ac:dyDescent="0.25">
      <c r="B64" s="5" t="s">
        <v>181</v>
      </c>
      <c r="C64" s="5" t="str">
        <f>VLOOKUP($B64,'1.2 FY2017'!B7:E129,2,FALSE)</f>
        <v>R&amp;D expenses</v>
      </c>
      <c r="D64" s="5">
        <f>VLOOKUP($B64,'1.2 FY2017'!$B$4:$E$126,3,FALSE)</f>
        <v>19</v>
      </c>
      <c r="E64" s="5" t="str">
        <f>VLOOKUP($B64,'1.2 FY2017'!$B$4:$E$126,4,FALSE)</f>
        <v>Generco Cosmetics Ltd</v>
      </c>
      <c r="F64" s="5">
        <f>-SUMIF('1.1 FY2016'!$B:$B,'2.1 Database'!$B64,'1.1 FY2016'!$F:$F)</f>
        <v>0</v>
      </c>
      <c r="G64" s="5">
        <f>-SUMIF('1.2 FY2017'!$B:$B,'2.1 Database'!$B64,'1.2 FY2017'!$F:$F)</f>
        <v>-38521</v>
      </c>
      <c r="H64" s="5">
        <f>-SUMIF('1.3 FY2018'!$B:$B,'2.1 Database'!$B64,'1.3 FY2018'!$F:$F)</f>
        <v>0</v>
      </c>
      <c r="I64" s="2" t="str">
        <f>VLOOKUP($C64,'2.3 Mapping'!$B$4:$C$49,2,FALSE)</f>
        <v>Other operating expenses</v>
      </c>
      <c r="J64" s="21">
        <f>COUNTIF('2.2 P&amp;L statement'!$B$4:$B$24,'2.1 Database'!I64)</f>
        <v>1</v>
      </c>
    </row>
    <row r="65" spans="2:10" x14ac:dyDescent="0.25">
      <c r="B65" s="5" t="s">
        <v>182</v>
      </c>
      <c r="C65" s="5" t="str">
        <f>VLOOKUP($B65,'1.2 FY2017'!B8:E130,2,FALSE)</f>
        <v>R&amp;D expenses</v>
      </c>
      <c r="D65" s="5" t="str">
        <f>VLOOKUP($B65,'1.2 FY2017'!$B$4:$E$126,3,FALSE)</f>
        <v>1283</v>
      </c>
      <c r="E65" s="5" t="str">
        <f>VLOOKUP($B65,'1.2 FY2017'!$B$4:$E$126,4,FALSE)</f>
        <v>Generco Ventures Ltd</v>
      </c>
      <c r="F65" s="5">
        <f>-SUMIF('1.1 FY2016'!$B:$B,'2.1 Database'!$B65,'1.1 FY2016'!$F:$F)</f>
        <v>0</v>
      </c>
      <c r="G65" s="5">
        <f>-SUMIF('1.2 FY2017'!$B:$B,'2.1 Database'!$B65,'1.2 FY2017'!$F:$F)</f>
        <v>-1820</v>
      </c>
      <c r="H65" s="5">
        <f>-SUMIF('1.3 FY2018'!$B:$B,'2.1 Database'!$B65,'1.3 FY2018'!$F:$F)</f>
        <v>0</v>
      </c>
      <c r="I65" s="2" t="str">
        <f>VLOOKUP($C65,'2.3 Mapping'!$B$4:$C$49,2,FALSE)</f>
        <v>Other operating expenses</v>
      </c>
      <c r="J65" s="21">
        <f>COUNTIF('2.2 P&amp;L statement'!$B$4:$B$24,'2.1 Database'!I65)</f>
        <v>1</v>
      </c>
    </row>
    <row r="66" spans="2:10" x14ac:dyDescent="0.25">
      <c r="B66" s="5" t="s">
        <v>183</v>
      </c>
      <c r="C66" s="5" t="str">
        <f>VLOOKUP($B66,'1.2 FY2017'!B9:E131,2,FALSE)</f>
        <v>R&amp;D expenses</v>
      </c>
      <c r="D66" s="5" t="str">
        <f>VLOOKUP($B66,'1.2 FY2017'!$B$4:$E$126,3,FALSE)</f>
        <v>1924</v>
      </c>
      <c r="E66" s="5" t="str">
        <f>VLOOKUP($B66,'1.2 FY2017'!$B$4:$E$126,4,FALSE)</f>
        <v>Generco Infrastructure Ltd</v>
      </c>
      <c r="F66" s="5">
        <f>-SUMIF('1.1 FY2016'!$B:$B,'2.1 Database'!$B66,'1.1 FY2016'!$F:$F)</f>
        <v>0</v>
      </c>
      <c r="G66" s="5">
        <f>-SUMIF('1.2 FY2017'!$B:$B,'2.1 Database'!$B66,'1.2 FY2017'!$F:$F)</f>
        <v>-10448.129999999999</v>
      </c>
      <c r="H66" s="5">
        <f>-SUMIF('1.3 FY2018'!$B:$B,'2.1 Database'!$B66,'1.3 FY2018'!$F:$F)</f>
        <v>-673.34299999999985</v>
      </c>
      <c r="I66" s="2" t="str">
        <f>VLOOKUP($C66,'2.3 Mapping'!$B$4:$C$49,2,FALSE)</f>
        <v>Other operating expenses</v>
      </c>
      <c r="J66" s="21">
        <f>COUNTIF('2.2 P&amp;L statement'!$B$4:$B$24,'2.1 Database'!I66)</f>
        <v>1</v>
      </c>
    </row>
    <row r="67" spans="2:10" x14ac:dyDescent="0.25">
      <c r="B67" s="5" t="s">
        <v>184</v>
      </c>
      <c r="C67" s="5" t="str">
        <f>VLOOKUP($B67,'1.2 FY2017'!B10:E132,2,FALSE)</f>
        <v>R&amp;D expenses</v>
      </c>
      <c r="D67" s="5" t="str">
        <f>VLOOKUP($B67,'1.2 FY2017'!$B$4:$E$126,3,FALSE)</f>
        <v>2486</v>
      </c>
      <c r="E67" s="5" t="str">
        <f>VLOOKUP($B67,'1.2 FY2017'!$B$4:$E$126,4,FALSE)</f>
        <v>Generco Exloration Ltd</v>
      </c>
      <c r="F67" s="5">
        <f>-SUMIF('1.1 FY2016'!$B:$B,'2.1 Database'!$B67,'1.1 FY2016'!$F:$F)</f>
        <v>0</v>
      </c>
      <c r="G67" s="5">
        <f>-SUMIF('1.2 FY2017'!$B:$B,'2.1 Database'!$B67,'1.2 FY2017'!$F:$F)</f>
        <v>-10412.5</v>
      </c>
      <c r="H67" s="5">
        <f>-SUMIF('1.3 FY2018'!$B:$B,'2.1 Database'!$B67,'1.3 FY2018'!$F:$F)</f>
        <v>0</v>
      </c>
      <c r="I67" s="2" t="str">
        <f>VLOOKUP($C67,'2.3 Mapping'!$B$4:$C$49,2,FALSE)</f>
        <v>Other operating expenses</v>
      </c>
      <c r="J67" s="21">
        <f>COUNTIF('2.2 P&amp;L statement'!$B$4:$B$24,'2.1 Database'!I67)</f>
        <v>1</v>
      </c>
    </row>
    <row r="68" spans="2:10" x14ac:dyDescent="0.25">
      <c r="B68" s="5" t="s">
        <v>185</v>
      </c>
      <c r="C68" s="5" t="str">
        <f>VLOOKUP($B68,'1.2 FY2017'!B11:E133,2,FALSE)</f>
        <v>Other personnel expenses</v>
      </c>
      <c r="D68" s="5">
        <f>VLOOKUP($B68,'1.2 FY2017'!$B$4:$E$126,3,FALSE)</f>
        <v>111101</v>
      </c>
      <c r="E68" s="5" t="str">
        <f>VLOOKUP($B68,'1.2 FY2017'!$B$4:$E$126,4,FALSE)</f>
        <v>Not assigned</v>
      </c>
      <c r="F68" s="5">
        <f>-SUMIF('1.1 FY2016'!$B:$B,'2.1 Database'!$B68,'1.1 FY2016'!$F:$F)</f>
        <v>0</v>
      </c>
      <c r="G68" s="5">
        <f>-SUMIF('1.2 FY2017'!$B:$B,'2.1 Database'!$B68,'1.2 FY2017'!$F:$F)</f>
        <v>-6919.8499999999995</v>
      </c>
      <c r="H68" s="5">
        <f>-SUMIF('1.3 FY2018'!$B:$B,'2.1 Database'!$B68,'1.3 FY2018'!$F:$F)</f>
        <v>0</v>
      </c>
      <c r="I68" s="2" t="str">
        <f>VLOOKUP($C68,'2.3 Mapping'!$B$4:$C$49,2,FALSE)</f>
        <v>Personnel expenses</v>
      </c>
      <c r="J68" s="21">
        <f>COUNTIF('2.2 P&amp;L statement'!$B$4:$B$24,'2.1 Database'!I68)</f>
        <v>1</v>
      </c>
    </row>
    <row r="69" spans="2:10" x14ac:dyDescent="0.25">
      <c r="B69" s="5" t="s">
        <v>186</v>
      </c>
      <c r="C69" s="5" t="str">
        <f>VLOOKUP($B69,'1.2 FY2017'!B12:E134,2,FALSE)</f>
        <v>D&amp;A</v>
      </c>
      <c r="D69" s="5">
        <f>VLOOKUP($B69,'1.2 FY2017'!$B$4:$E$126,3,FALSE)</f>
        <v>111101</v>
      </c>
      <c r="E69" s="5" t="str">
        <f>VLOOKUP($B69,'1.2 FY2017'!$B$4:$E$126,4,FALSE)</f>
        <v>Not assigned</v>
      </c>
      <c r="F69" s="5">
        <f>-SUMIF('1.1 FY2016'!$B:$B,'2.1 Database'!$B69,'1.1 FY2016'!$F:$F)</f>
        <v>0</v>
      </c>
      <c r="G69" s="5">
        <f>-SUMIF('1.2 FY2017'!$B:$B,'2.1 Database'!$B69,'1.2 FY2017'!$F:$F)</f>
        <v>-146328.94499999998</v>
      </c>
      <c r="H69" s="5">
        <f>-SUMIF('1.3 FY2018'!$B:$B,'2.1 Database'!$B69,'1.3 FY2018'!$F:$F)</f>
        <v>-12593.355</v>
      </c>
      <c r="I69" s="2" t="str">
        <f>VLOOKUP($C69,'2.3 Mapping'!$B$4:$C$49,2,FALSE)</f>
        <v>D&amp;A</v>
      </c>
      <c r="J69" s="21">
        <f>COUNTIF('2.2 P&amp;L statement'!$B$4:$B$24,'2.1 Database'!I69)</f>
        <v>1</v>
      </c>
    </row>
    <row r="70" spans="2:10" x14ac:dyDescent="0.25">
      <c r="B70" s="5" t="s">
        <v>187</v>
      </c>
      <c r="C70" s="5" t="str">
        <f>VLOOKUP($B70,'1.2 FY2017'!B13:E135,2,FALSE)</f>
        <v>Gains from disposal of PP&amp;E</v>
      </c>
      <c r="D70" s="5">
        <f>VLOOKUP($B70,'1.2 FY2017'!$B$4:$E$126,3,FALSE)</f>
        <v>111111</v>
      </c>
      <c r="E70" s="5" t="str">
        <f>VLOOKUP($B70,'1.2 FY2017'!$B$4:$E$126,4,FALSE)</f>
        <v>External</v>
      </c>
      <c r="F70" s="5">
        <f>-SUMIF('1.1 FY2016'!$B:$B,'2.1 Database'!$B70,'1.1 FY2016'!$F:$F)</f>
        <v>0</v>
      </c>
      <c r="G70" s="5">
        <f>-SUMIF('1.2 FY2017'!$B:$B,'2.1 Database'!$B70,'1.2 FY2017'!$F:$F)</f>
        <v>121553.07499999998</v>
      </c>
      <c r="H70" s="5">
        <f>-SUMIF('1.3 FY2018'!$B:$B,'2.1 Database'!$B70,'1.3 FY2018'!$F:$F)</f>
        <v>0</v>
      </c>
      <c r="I70" s="2" t="str">
        <f>VLOOKUP($C70,'2.3 Mapping'!$B$4:$C$49,2,FALSE)</f>
        <v>Extraordinary items</v>
      </c>
      <c r="J70" s="21">
        <f>COUNTIF('2.2 P&amp;L statement'!$B$4:$B$24,'2.1 Database'!I70)</f>
        <v>1</v>
      </c>
    </row>
    <row r="71" spans="2:10" x14ac:dyDescent="0.25">
      <c r="B71" s="5" t="s">
        <v>188</v>
      </c>
      <c r="C71" s="5" t="str">
        <f>VLOOKUP($B71,'1.2 FY2017'!B14:E136,2,FALSE)</f>
        <v>Corporate recharges</v>
      </c>
      <c r="D71" s="5">
        <f>VLOOKUP($B71,'1.2 FY2017'!$B$4:$E$126,3,FALSE)</f>
        <v>19</v>
      </c>
      <c r="E71" s="5" t="str">
        <f>VLOOKUP($B71,'1.2 FY2017'!$B$4:$E$126,4,FALSE)</f>
        <v>Generco Cosmetics Ltd</v>
      </c>
      <c r="F71" s="5">
        <f>-SUMIF('1.1 FY2016'!$B:$B,'2.1 Database'!$B71,'1.1 FY2016'!$F:$F)</f>
        <v>0</v>
      </c>
      <c r="G71" s="5">
        <f>-SUMIF('1.2 FY2017'!$B:$B,'2.1 Database'!$B71,'1.2 FY2017'!$F:$F)</f>
        <v>416278.66</v>
      </c>
      <c r="H71" s="5">
        <f>-SUMIF('1.3 FY2018'!$B:$B,'2.1 Database'!$B71,'1.3 FY2018'!$F:$F)</f>
        <v>622966.38600000006</v>
      </c>
      <c r="I71" s="2" t="str">
        <f>VLOOKUP($C71,'2.3 Mapping'!$B$4:$C$49,2,FALSE)</f>
        <v>Recharges</v>
      </c>
      <c r="J71" s="21">
        <f>COUNTIF('2.2 P&amp;L statement'!$B$4:$B$24,'2.1 Database'!I71)</f>
        <v>1</v>
      </c>
    </row>
    <row r="72" spans="2:10" x14ac:dyDescent="0.25">
      <c r="B72" s="5" t="s">
        <v>189</v>
      </c>
      <c r="C72" s="5" t="str">
        <f>VLOOKUP($B72,'1.2 FY2017'!B15:E137,2,FALSE)</f>
        <v>Corporate recharges</v>
      </c>
      <c r="D72" s="5" t="str">
        <f>VLOOKUP($B72,'1.2 FY2017'!$B$4:$E$126,3,FALSE)</f>
        <v>1076</v>
      </c>
      <c r="E72" s="5" t="str">
        <f>VLOOKUP($B72,'1.2 FY2017'!$B$4:$E$126,4,FALSE)</f>
        <v>Generco Trading Ltd</v>
      </c>
      <c r="F72" s="5">
        <f>-SUMIF('1.1 FY2016'!$B:$B,'2.1 Database'!$B72,'1.1 FY2016'!$F:$F)</f>
        <v>0</v>
      </c>
      <c r="G72" s="5">
        <f>-SUMIF('1.2 FY2017'!$B:$B,'2.1 Database'!$B72,'1.2 FY2017'!$F:$F)</f>
        <v>364243.84499999997</v>
      </c>
      <c r="H72" s="5">
        <f>-SUMIF('1.3 FY2018'!$B:$B,'2.1 Database'!$B72,'1.3 FY2018'!$F:$F)</f>
        <v>0</v>
      </c>
      <c r="I72" s="2" t="str">
        <f>VLOOKUP($C72,'2.3 Mapping'!$B$4:$C$49,2,FALSE)</f>
        <v>Recharges</v>
      </c>
      <c r="J72" s="21">
        <f>COUNTIF('2.2 P&amp;L statement'!$B$4:$B$24,'2.1 Database'!I72)</f>
        <v>1</v>
      </c>
    </row>
    <row r="73" spans="2:10" x14ac:dyDescent="0.25">
      <c r="B73" s="5" t="s">
        <v>190</v>
      </c>
      <c r="C73" s="5" t="str">
        <f>VLOOKUP($B73,'1.2 FY2017'!B16:E138,2,FALSE)</f>
        <v>Corporate recharges</v>
      </c>
      <c r="D73" s="5" t="str">
        <f>VLOOKUP($B73,'1.2 FY2017'!$B$4:$E$126,3,FALSE)</f>
        <v>1086</v>
      </c>
      <c r="E73" s="5" t="str">
        <f>VLOOKUP($B73,'1.2 FY2017'!$B$4:$E$126,4,FALSE)</f>
        <v>G&amp;Resources Ltd</v>
      </c>
      <c r="F73" s="5">
        <f>-SUMIF('1.1 FY2016'!$B:$B,'2.1 Database'!$B73,'1.1 FY2016'!$F:$F)</f>
        <v>0</v>
      </c>
      <c r="G73" s="5">
        <f>-SUMIF('1.2 FY2017'!$B:$B,'2.1 Database'!$B73,'1.2 FY2017'!$F:$F)</f>
        <v>0</v>
      </c>
      <c r="H73" s="5">
        <f>-SUMIF('1.3 FY2018'!$B:$B,'2.1 Database'!$B73,'1.3 FY2018'!$F:$F)</f>
        <v>0</v>
      </c>
      <c r="I73" s="2" t="str">
        <f>VLOOKUP($C73,'2.3 Mapping'!$B$4:$C$49,2,FALSE)</f>
        <v>Recharges</v>
      </c>
      <c r="J73" s="21">
        <f>COUNTIF('2.2 P&amp;L statement'!$B$4:$B$24,'2.1 Database'!I73)</f>
        <v>1</v>
      </c>
    </row>
    <row r="74" spans="2:10" x14ac:dyDescent="0.25">
      <c r="B74" s="5" t="s">
        <v>191</v>
      </c>
      <c r="C74" s="5" t="str">
        <f>VLOOKUP($B74,'1.2 FY2017'!B17:E139,2,FALSE)</f>
        <v>Corporate recharges</v>
      </c>
      <c r="D74" s="5" t="str">
        <f>VLOOKUP($B74,'1.2 FY2017'!$B$4:$E$126,3,FALSE)</f>
        <v>47037</v>
      </c>
      <c r="E74" s="5" t="str">
        <f>VLOOKUP($B74,'1.2 FY2017'!$B$4:$E$126,4,FALSE)</f>
        <v>G&amp;CR Global Ltd</v>
      </c>
      <c r="F74" s="5">
        <f>-SUMIF('1.1 FY2016'!$B:$B,'2.1 Database'!$B74,'1.1 FY2016'!$F:$F)</f>
        <v>0</v>
      </c>
      <c r="G74" s="5">
        <f>-SUMIF('1.2 FY2017'!$B:$B,'2.1 Database'!$B74,'1.2 FY2017'!$F:$F)</f>
        <v>482611.04499999998</v>
      </c>
      <c r="H74" s="5">
        <f>-SUMIF('1.3 FY2018'!$B:$B,'2.1 Database'!$B74,'1.3 FY2018'!$F:$F)</f>
        <v>1948832.1429999999</v>
      </c>
      <c r="I74" s="2" t="str">
        <f>VLOOKUP($C74,'2.3 Mapping'!$B$4:$C$49,2,FALSE)</f>
        <v>Recharges</v>
      </c>
      <c r="J74" s="21">
        <f>COUNTIF('2.2 P&amp;L statement'!$B$4:$B$24,'2.1 Database'!I74)</f>
        <v>1</v>
      </c>
    </row>
    <row r="75" spans="2:10" x14ac:dyDescent="0.25">
      <c r="B75" s="5" t="s">
        <v>192</v>
      </c>
      <c r="C75" s="5" t="str">
        <f>VLOOKUP($B75,'1.2 FY2017'!B18:E140,2,FALSE)</f>
        <v>Other income</v>
      </c>
      <c r="D75" s="5">
        <f>VLOOKUP($B75,'1.2 FY2017'!$B$4:$E$126,3,FALSE)</f>
        <v>88</v>
      </c>
      <c r="E75" s="5" t="str">
        <f>VLOOKUP($B75,'1.2 FY2017'!$B$4:$E$126,4,FALSE)</f>
        <v>Generco Ltd</v>
      </c>
      <c r="F75" s="5">
        <f>-SUMIF('1.1 FY2016'!$B:$B,'2.1 Database'!$B75,'1.1 FY2016'!$F:$F)</f>
        <v>0</v>
      </c>
      <c r="G75" s="5">
        <f>-SUMIF('1.2 FY2017'!$B:$B,'2.1 Database'!$B75,'1.2 FY2017'!$F:$F)</f>
        <v>2436.35</v>
      </c>
      <c r="H75" s="5">
        <f>-SUMIF('1.3 FY2018'!$B:$B,'2.1 Database'!$B75,'1.3 FY2018'!$F:$F)</f>
        <v>0</v>
      </c>
      <c r="I75" s="2" t="str">
        <f>VLOOKUP($C75,'2.3 Mapping'!$B$4:$C$49,2,FALSE)</f>
        <v>Other income</v>
      </c>
      <c r="J75" s="21">
        <f>COUNTIF('2.2 P&amp;L statement'!$B$4:$B$24,'2.1 Database'!I75)</f>
        <v>1</v>
      </c>
    </row>
    <row r="76" spans="2:10" x14ac:dyDescent="0.25">
      <c r="B76" s="5" t="s">
        <v>193</v>
      </c>
      <c r="C76" s="5" t="str">
        <f>VLOOKUP($B76,'1.2 FY2017'!B19:E141,2,FALSE)</f>
        <v>Concession fees other</v>
      </c>
      <c r="D76" s="5">
        <f>VLOOKUP($B76,'1.2 FY2017'!$B$4:$E$126,3,FALSE)</f>
        <v>111101</v>
      </c>
      <c r="E76" s="5" t="str">
        <f>VLOOKUP($B76,'1.2 FY2017'!$B$4:$E$126,4,FALSE)</f>
        <v>Not assigned</v>
      </c>
      <c r="F76" s="5">
        <f>-SUMIF('1.1 FY2016'!$B:$B,'2.1 Database'!$B76,'1.1 FY2016'!$F:$F)</f>
        <v>0</v>
      </c>
      <c r="G76" s="5">
        <f>-SUMIF('1.2 FY2017'!$B:$B,'2.1 Database'!$B76,'1.2 FY2017'!$F:$F)</f>
        <v>-81.339999999999989</v>
      </c>
      <c r="H76" s="5">
        <f>-SUMIF('1.3 FY2018'!$B:$B,'2.1 Database'!$B76,'1.3 FY2018'!$F:$F)</f>
        <v>0</v>
      </c>
      <c r="I76" s="2" t="str">
        <f>VLOOKUP($C76,'2.3 Mapping'!$B$4:$C$49,2,FALSE)</f>
        <v>Other operating expenses</v>
      </c>
      <c r="J76" s="21">
        <f>COUNTIF('2.2 P&amp;L statement'!$B$4:$B$24,'2.1 Database'!I76)</f>
        <v>1</v>
      </c>
    </row>
    <row r="77" spans="2:10" x14ac:dyDescent="0.25">
      <c r="B77" s="5" t="s">
        <v>194</v>
      </c>
      <c r="C77" s="5" t="str">
        <f>VLOOKUP($B77,'1.2 FY2017'!B20:E142,2,FALSE)</f>
        <v>Service expenses</v>
      </c>
      <c r="D77" s="5">
        <f>VLOOKUP($B77,'1.2 FY2017'!$B$4:$E$126,3,FALSE)</f>
        <v>105</v>
      </c>
      <c r="E77" s="5" t="str">
        <f>VLOOKUP($B77,'1.2 FY2017'!$B$4:$E$126,4,FALSE)</f>
        <v>Generco Healthcare Ltd</v>
      </c>
      <c r="F77" s="5">
        <f>-SUMIF('1.1 FY2016'!$B:$B,'2.1 Database'!$B77,'1.1 FY2016'!$F:$F)</f>
        <v>0</v>
      </c>
      <c r="G77" s="5">
        <f>-SUMIF('1.2 FY2017'!$B:$B,'2.1 Database'!$B77,'1.2 FY2017'!$F:$F)</f>
        <v>-276920</v>
      </c>
      <c r="H77" s="5">
        <f>-SUMIF('1.3 FY2018'!$B:$B,'2.1 Database'!$B77,'1.3 FY2018'!$F:$F)</f>
        <v>-473575.46100000001</v>
      </c>
      <c r="I77" s="2" t="str">
        <f>VLOOKUP($C77,'2.3 Mapping'!$B$4:$C$49,2,FALSE)</f>
        <v>Services</v>
      </c>
      <c r="J77" s="21">
        <f>COUNTIF('2.2 P&amp;L statement'!$B$4:$B$24,'2.1 Database'!I77)</f>
        <v>1</v>
      </c>
    </row>
    <row r="78" spans="2:10" x14ac:dyDescent="0.25">
      <c r="B78" s="5" t="s">
        <v>195</v>
      </c>
      <c r="C78" s="5" t="str">
        <f>VLOOKUP($B78,'1.2 FY2017'!B21:E143,2,FALSE)</f>
        <v>Insurance expenses</v>
      </c>
      <c r="D78" s="5">
        <f>VLOOKUP($B78,'1.2 FY2017'!$B$4:$E$126,3,FALSE)</f>
        <v>1900</v>
      </c>
      <c r="E78" s="5" t="str">
        <f>VLOOKUP($B78,'1.2 FY2017'!$B$4:$E$126,4,FALSE)</f>
        <v>Generco Metals Gm</v>
      </c>
      <c r="F78" s="5">
        <f>-SUMIF('1.1 FY2016'!$B:$B,'2.1 Database'!$B78,'1.1 FY2016'!$F:$F)</f>
        <v>0</v>
      </c>
      <c r="G78" s="5">
        <f>-SUMIF('1.2 FY2017'!$B:$B,'2.1 Database'!$B78,'1.2 FY2017'!$F:$F)</f>
        <v>0</v>
      </c>
      <c r="H78" s="5">
        <f>-SUMIF('1.3 FY2018'!$B:$B,'2.1 Database'!$B78,'1.3 FY2018'!$F:$F)</f>
        <v>0</v>
      </c>
      <c r="I78" s="2" t="str">
        <f>VLOOKUP($C78,'2.3 Mapping'!$B$4:$C$49,2,FALSE)</f>
        <v>Other operating expenses</v>
      </c>
      <c r="J78" s="21">
        <f>COUNTIF('2.2 P&amp;L statement'!$B$4:$B$24,'2.1 Database'!I78)</f>
        <v>1</v>
      </c>
    </row>
    <row r="79" spans="2:10" x14ac:dyDescent="0.25">
      <c r="B79" s="5" t="s">
        <v>196</v>
      </c>
      <c r="C79" s="5" t="str">
        <f>VLOOKUP($B79,'1.2 FY2017'!B22:E144,2,FALSE)</f>
        <v>Travel expenses</v>
      </c>
      <c r="D79" s="5" t="str">
        <f>VLOOKUP($B79,'1.2 FY2017'!$B$4:$E$126,3,FALSE)</f>
        <v>1118</v>
      </c>
      <c r="E79" s="5" t="str">
        <f>VLOOKUP($B79,'1.2 FY2017'!$B$4:$E$126,4,FALSE)</f>
        <v>Gener Green LLC</v>
      </c>
      <c r="F79" s="5">
        <f>-SUMIF('1.1 FY2016'!$B:$B,'2.1 Database'!$B79,'1.1 FY2016'!$F:$F)</f>
        <v>0</v>
      </c>
      <c r="G79" s="5">
        <f>-SUMIF('1.2 FY2017'!$B:$B,'2.1 Database'!$B79,'1.2 FY2017'!$F:$F)</f>
        <v>-23928.799999999999</v>
      </c>
      <c r="H79" s="5">
        <f>-SUMIF('1.3 FY2018'!$B:$B,'2.1 Database'!$B79,'1.3 FY2018'!$F:$F)</f>
        <v>0</v>
      </c>
      <c r="I79" s="2" t="str">
        <f>VLOOKUP($C79,'2.3 Mapping'!$B$4:$C$49,2,FALSE)</f>
        <v>Travel costs</v>
      </c>
      <c r="J79" s="21">
        <f>COUNTIF('2.2 P&amp;L statement'!$B$4:$B$24,'2.1 Database'!I79)</f>
        <v>1</v>
      </c>
    </row>
    <row r="80" spans="2:10" x14ac:dyDescent="0.25">
      <c r="B80" s="5" t="s">
        <v>197</v>
      </c>
      <c r="C80" s="5" t="str">
        <f>VLOOKUP($B80,'1.2 FY2017'!B23:E145,2,FALSE)</f>
        <v>Losses fr disposal of PPE</v>
      </c>
      <c r="D80" s="5">
        <f>VLOOKUP($B80,'1.2 FY2017'!$B$4:$E$126,3,FALSE)</f>
        <v>111111</v>
      </c>
      <c r="E80" s="5" t="str">
        <f>VLOOKUP($B80,'1.2 FY2017'!$B$4:$E$126,4,FALSE)</f>
        <v>External</v>
      </c>
      <c r="F80" s="5">
        <f>-SUMIF('1.1 FY2016'!$B:$B,'2.1 Database'!$B80,'1.1 FY2016'!$F:$F)</f>
        <v>0</v>
      </c>
      <c r="G80" s="5">
        <f>-SUMIF('1.2 FY2017'!$B:$B,'2.1 Database'!$B80,'1.2 FY2017'!$F:$F)</f>
        <v>-308232</v>
      </c>
      <c r="H80" s="5">
        <f>-SUMIF('1.3 FY2018'!$B:$B,'2.1 Database'!$B80,'1.3 FY2018'!$F:$F)</f>
        <v>0</v>
      </c>
      <c r="I80" s="2" t="str">
        <f>VLOOKUP($C80,'2.3 Mapping'!$B$4:$C$49,2,FALSE)</f>
        <v>Extraordinary items</v>
      </c>
      <c r="J80" s="21">
        <f>COUNTIF('2.2 P&amp;L statement'!$B$4:$B$24,'2.1 Database'!I80)</f>
        <v>1</v>
      </c>
    </row>
    <row r="81" spans="2:10" x14ac:dyDescent="0.25">
      <c r="B81" s="5" t="s">
        <v>198</v>
      </c>
      <c r="C81" s="5" t="str">
        <f>VLOOKUP($B81,'1.2 FY2017'!B24:E146,2,FALSE)</f>
        <v>Other operative currency differences</v>
      </c>
      <c r="D81" s="5">
        <f>VLOOKUP($B81,'1.2 FY2017'!$B$4:$E$126,3,FALSE)</f>
        <v>19</v>
      </c>
      <c r="E81" s="5" t="str">
        <f>VLOOKUP($B81,'1.2 FY2017'!$B$4:$E$126,4,FALSE)</f>
        <v>Generco Cosmetics Ltd</v>
      </c>
      <c r="F81" s="5">
        <f>-SUMIF('1.1 FY2016'!$B:$B,'2.1 Database'!$B81,'1.1 FY2016'!$F:$F)</f>
        <v>0</v>
      </c>
      <c r="G81" s="5">
        <f>-SUMIF('1.2 FY2017'!$B:$B,'2.1 Database'!$B81,'1.2 FY2017'!$F:$F)</f>
        <v>-13422.779999999999</v>
      </c>
      <c r="H81" s="5">
        <f>-SUMIF('1.3 FY2018'!$B:$B,'2.1 Database'!$B81,'1.3 FY2018'!$F:$F)</f>
        <v>0</v>
      </c>
      <c r="I81" s="2" t="str">
        <f>VLOOKUP($C81,'2.3 Mapping'!$B$4:$C$49,2,FALSE)</f>
        <v>Other operating expenses</v>
      </c>
      <c r="J81" s="21">
        <f>COUNTIF('2.2 P&amp;L statement'!$B$4:$B$24,'2.1 Database'!I81)</f>
        <v>1</v>
      </c>
    </row>
    <row r="82" spans="2:10" x14ac:dyDescent="0.25">
      <c r="B82" s="5" t="s">
        <v>199</v>
      </c>
      <c r="C82" s="5" t="str">
        <f>VLOOKUP($B82,'1.2 FY2017'!B25:E147,2,FALSE)</f>
        <v>Other operative currency differences</v>
      </c>
      <c r="D82" s="5">
        <f>VLOOKUP($B82,'1.2 FY2017'!$B$4:$E$126,3,FALSE)</f>
        <v>111111</v>
      </c>
      <c r="E82" s="5" t="str">
        <f>VLOOKUP($B82,'1.2 FY2017'!$B$4:$E$126,4,FALSE)</f>
        <v>External</v>
      </c>
      <c r="F82" s="5">
        <f>-SUMIF('1.1 FY2016'!$B:$B,'2.1 Database'!$B82,'1.1 FY2016'!$F:$F)</f>
        <v>0</v>
      </c>
      <c r="G82" s="5">
        <f>-SUMIF('1.2 FY2017'!$B:$B,'2.1 Database'!$B82,'1.2 FY2017'!$F:$F)</f>
        <v>-4045.6150000000002</v>
      </c>
      <c r="H82" s="5">
        <f>-SUMIF('1.3 FY2018'!$B:$B,'2.1 Database'!$B82,'1.3 FY2018'!$F:$F)</f>
        <v>0</v>
      </c>
      <c r="I82" s="2" t="str">
        <f>VLOOKUP($C82,'2.3 Mapping'!$B$4:$C$49,2,FALSE)</f>
        <v>Other operating expenses</v>
      </c>
      <c r="J82" s="21">
        <f>COUNTIF('2.2 P&amp;L statement'!$B$4:$B$24,'2.1 Database'!I82)</f>
        <v>1</v>
      </c>
    </row>
    <row r="83" spans="2:10" x14ac:dyDescent="0.25">
      <c r="B83" s="5" t="s">
        <v>200</v>
      </c>
      <c r="C83" s="5" t="str">
        <f>VLOOKUP($B83,'1.2 FY2017'!B26:E148,2,FALSE)</f>
        <v>Property tax</v>
      </c>
      <c r="D83" s="5">
        <f>VLOOKUP($B83,'1.2 FY2017'!$B$4:$E$126,3,FALSE)</f>
        <v>111111</v>
      </c>
      <c r="E83" s="5" t="str">
        <f>VLOOKUP($B83,'1.2 FY2017'!$B$4:$E$126,4,FALSE)</f>
        <v>External</v>
      </c>
      <c r="F83" s="5">
        <f>-SUMIF('1.1 FY2016'!$B:$B,'2.1 Database'!$B83,'1.1 FY2016'!$F:$F)</f>
        <v>0</v>
      </c>
      <c r="G83" s="5">
        <f>-SUMIF('1.2 FY2017'!$B:$B,'2.1 Database'!$B83,'1.2 FY2017'!$F:$F)</f>
        <v>-49621.144999999997</v>
      </c>
      <c r="H83" s="5">
        <f>-SUMIF('1.3 FY2018'!$B:$B,'2.1 Database'!$B83,'1.3 FY2018'!$F:$F)</f>
        <v>0</v>
      </c>
      <c r="I83" s="2" t="str">
        <f>VLOOKUP($C83,'2.3 Mapping'!$B$4:$C$49,2,FALSE)</f>
        <v>Other operating expenses</v>
      </c>
      <c r="J83" s="21">
        <f>COUNTIF('2.2 P&amp;L statement'!$B$4:$B$24,'2.1 Database'!I83)</f>
        <v>1</v>
      </c>
    </row>
    <row r="84" spans="2:10" x14ac:dyDescent="0.25">
      <c r="B84" s="5" t="s">
        <v>201</v>
      </c>
      <c r="C84" s="5" t="str">
        <f>VLOOKUP($B84,'1.2 FY2017'!B27:E149,2,FALSE)</f>
        <v>Misc extraordinary expenses</v>
      </c>
      <c r="D84" s="5">
        <f>VLOOKUP($B84,'1.2 FY2017'!$B$4:$E$126,3,FALSE)</f>
        <v>19</v>
      </c>
      <c r="E84" s="5" t="str">
        <f>VLOOKUP($B84,'1.2 FY2017'!$B$4:$E$126,4,FALSE)</f>
        <v>Generco Cosmetics Ltd</v>
      </c>
      <c r="F84" s="5">
        <f>-SUMIF('1.1 FY2016'!$B:$B,'2.1 Database'!$B84,'1.1 FY2016'!$F:$F)</f>
        <v>0</v>
      </c>
      <c r="G84" s="5">
        <f>-SUMIF('1.2 FY2017'!$B:$B,'2.1 Database'!$B84,'1.2 FY2017'!$F:$F)</f>
        <v>-85462.684999999998</v>
      </c>
      <c r="H84" s="5">
        <f>-SUMIF('1.3 FY2018'!$B:$B,'2.1 Database'!$B84,'1.3 FY2018'!$F:$F)</f>
        <v>0</v>
      </c>
      <c r="I84" s="2" t="str">
        <f>VLOOKUP($C84,'2.3 Mapping'!$B$4:$C$49,2,FALSE)</f>
        <v>Other operating expenses</v>
      </c>
      <c r="J84" s="21">
        <f>COUNTIF('2.2 P&amp;L statement'!$B$4:$B$24,'2.1 Database'!I84)</f>
        <v>1</v>
      </c>
    </row>
    <row r="85" spans="2:10" x14ac:dyDescent="0.25">
      <c r="B85" s="5" t="s">
        <v>202</v>
      </c>
      <c r="C85" s="5" t="str">
        <f>VLOOKUP($B85,'1.2 FY2017'!B28:E150,2,FALSE)</f>
        <v>Misc extraordinary expenses</v>
      </c>
      <c r="D85" s="5" t="str">
        <f>VLOOKUP($B85,'1.2 FY2017'!$B$4:$E$126,3,FALSE)</f>
        <v>43</v>
      </c>
      <c r="E85" s="5" t="str">
        <f>VLOOKUP($B85,'1.2 FY2017'!$B$4:$E$126,4,FALSE)</f>
        <v>Greeny France SL</v>
      </c>
      <c r="F85" s="5">
        <f>-SUMIF('1.1 FY2016'!$B:$B,'2.1 Database'!$B85,'1.1 FY2016'!$F:$F)</f>
        <v>0</v>
      </c>
      <c r="G85" s="5">
        <f>-SUMIF('1.2 FY2017'!$B:$B,'2.1 Database'!$B85,'1.2 FY2017'!$F:$F)</f>
        <v>-11422.144999999999</v>
      </c>
      <c r="H85" s="5">
        <f>-SUMIF('1.3 FY2018'!$B:$B,'2.1 Database'!$B85,'1.3 FY2018'!$F:$F)</f>
        <v>0</v>
      </c>
      <c r="I85" s="2" t="str">
        <f>VLOOKUP($C85,'2.3 Mapping'!$B$4:$C$49,2,FALSE)</f>
        <v>Other operating expenses</v>
      </c>
      <c r="J85" s="21">
        <f>COUNTIF('2.2 P&amp;L statement'!$B$4:$B$24,'2.1 Database'!I85)</f>
        <v>1</v>
      </c>
    </row>
    <row r="86" spans="2:10" x14ac:dyDescent="0.25">
      <c r="B86" s="5" t="s">
        <v>203</v>
      </c>
      <c r="C86" s="5" t="str">
        <f>VLOOKUP($B86,'1.2 FY2017'!B29:E151,2,FALSE)</f>
        <v>Misc extraordinary expenses</v>
      </c>
      <c r="D86" s="5" t="str">
        <f>VLOOKUP($B86,'1.2 FY2017'!$B$4:$E$126,3,FALSE)</f>
        <v>1924</v>
      </c>
      <c r="E86" s="5" t="str">
        <f>VLOOKUP($B86,'1.2 FY2017'!$B$4:$E$126,4,FALSE)</f>
        <v>Generco Infrastructure Ltd</v>
      </c>
      <c r="F86" s="5">
        <f>-SUMIF('1.1 FY2016'!$B:$B,'2.1 Database'!$B86,'1.1 FY2016'!$F:$F)</f>
        <v>0</v>
      </c>
      <c r="G86" s="5">
        <f>-SUMIF('1.2 FY2017'!$B:$B,'2.1 Database'!$B86,'1.2 FY2017'!$F:$F)</f>
        <v>-84438.864999999991</v>
      </c>
      <c r="H86" s="5">
        <f>-SUMIF('1.3 FY2018'!$B:$B,'2.1 Database'!$B86,'1.3 FY2018'!$F:$F)</f>
        <v>0</v>
      </c>
      <c r="I86" s="2" t="str">
        <f>VLOOKUP($C86,'2.3 Mapping'!$B$4:$C$49,2,FALSE)</f>
        <v>Other operating expenses</v>
      </c>
      <c r="J86" s="21">
        <f>COUNTIF('2.2 P&amp;L statement'!$B$4:$B$24,'2.1 Database'!I86)</f>
        <v>1</v>
      </c>
    </row>
    <row r="87" spans="2:10" x14ac:dyDescent="0.25">
      <c r="B87" s="5" t="s">
        <v>204</v>
      </c>
      <c r="C87" s="5" t="str">
        <f>VLOOKUP($B87,'1.2 FY2017'!B30:E152,2,FALSE)</f>
        <v>Difference from eliminations</v>
      </c>
      <c r="D87" s="5" t="str">
        <f>VLOOKUP($B87,'1.2 FY2017'!$B$4:$E$126,3,FALSE)</f>
        <v>1086</v>
      </c>
      <c r="E87" s="5" t="str">
        <f>VLOOKUP($B87,'1.2 FY2017'!$B$4:$E$126,4,FALSE)</f>
        <v>G&amp;Resources Ltd</v>
      </c>
      <c r="F87" s="5">
        <f>-SUMIF('1.1 FY2016'!$B:$B,'2.1 Database'!$B87,'1.1 FY2016'!$F:$F)</f>
        <v>0</v>
      </c>
      <c r="G87" s="5">
        <f>-SUMIF('1.2 FY2017'!$B:$B,'2.1 Database'!$B87,'1.2 FY2017'!$F:$F)</f>
        <v>0</v>
      </c>
      <c r="H87" s="5">
        <f>-SUMIF('1.3 FY2018'!$B:$B,'2.1 Database'!$B87,'1.3 FY2018'!$F:$F)</f>
        <v>0</v>
      </c>
      <c r="I87" s="2" t="str">
        <f>VLOOKUP($C87,'2.3 Mapping'!$B$4:$C$49,2,FALSE)</f>
        <v>-</v>
      </c>
      <c r="J87" s="21">
        <f>COUNTIF('2.2 P&amp;L statement'!$B$4:$B$24,'2.1 Database'!I87)</f>
        <v>0</v>
      </c>
    </row>
    <row r="88" spans="2:10" x14ac:dyDescent="0.25">
      <c r="B88" s="5" t="s">
        <v>205</v>
      </c>
      <c r="C88" s="5" t="str">
        <f>VLOOKUP($B88,'1.2 FY2017'!B31:E153,2,FALSE)</f>
        <v>Interest income</v>
      </c>
      <c r="D88" s="5" t="str">
        <f>VLOOKUP($B88,'1.2 FY2017'!$B$4:$E$126,3,FALSE)</f>
        <v>1086</v>
      </c>
      <c r="E88" s="5" t="str">
        <f>VLOOKUP($B88,'1.2 FY2017'!$B$4:$E$126,4,FALSE)</f>
        <v>G&amp;Resources Ltd</v>
      </c>
      <c r="F88" s="5">
        <f>-SUMIF('1.1 FY2016'!$B:$B,'2.1 Database'!$B88,'1.1 FY2016'!$F:$F)</f>
        <v>0</v>
      </c>
      <c r="G88" s="5">
        <f>-SUMIF('1.2 FY2017'!$B:$B,'2.1 Database'!$B88,'1.2 FY2017'!$F:$F)</f>
        <v>0</v>
      </c>
      <c r="H88" s="5">
        <f>-SUMIF('1.3 FY2018'!$B:$B,'2.1 Database'!$B88,'1.3 FY2018'!$F:$F)</f>
        <v>0</v>
      </c>
      <c r="I88" s="2" t="str">
        <f>VLOOKUP($C88,'2.3 Mapping'!$B$4:$C$49,2,FALSE)</f>
        <v>Financial items</v>
      </c>
      <c r="J88" s="21">
        <f>COUNTIF('2.2 P&amp;L statement'!$B$4:$B$24,'2.1 Database'!I88)</f>
        <v>1</v>
      </c>
    </row>
    <row r="89" spans="2:10" x14ac:dyDescent="0.25">
      <c r="B89" s="5" t="s">
        <v>206</v>
      </c>
      <c r="C89" s="5" t="str">
        <f>VLOOKUP($B89,'1.2 FY2017'!B32:E154,2,FALSE)</f>
        <v>Interest income</v>
      </c>
      <c r="D89" s="5">
        <f>VLOOKUP($B89,'1.2 FY2017'!$B$4:$E$126,3,FALSE)</f>
        <v>1006</v>
      </c>
      <c r="E89" s="5" t="str">
        <f>VLOOKUP($B89,'1.2 FY2017'!$B$4:$E$126,4,FALSE)</f>
        <v>Generco Mining GmbH</v>
      </c>
      <c r="F89" s="5">
        <f>-SUMIF('1.1 FY2016'!$B:$B,'2.1 Database'!$B89,'1.1 FY2016'!$F:$F)</f>
        <v>0</v>
      </c>
      <c r="G89" s="5">
        <f>-SUMIF('1.2 FY2017'!$B:$B,'2.1 Database'!$B89,'1.2 FY2017'!$F:$F)</f>
        <v>6778.415</v>
      </c>
      <c r="H89" s="5">
        <f>-SUMIF('1.3 FY2018'!$B:$B,'2.1 Database'!$B89,'1.3 FY2018'!$F:$F)</f>
        <v>0</v>
      </c>
      <c r="I89" s="2" t="str">
        <f>VLOOKUP($C89,'2.3 Mapping'!$B$4:$C$49,2,FALSE)</f>
        <v>Financial items</v>
      </c>
      <c r="J89" s="21">
        <f>COUNTIF('2.2 P&amp;L statement'!$B$4:$B$24,'2.1 Database'!I89)</f>
        <v>1</v>
      </c>
    </row>
    <row r="90" spans="2:10" x14ac:dyDescent="0.25">
      <c r="B90" s="5" t="s">
        <v>207</v>
      </c>
      <c r="C90" s="5" t="str">
        <f>VLOOKUP($B90,'1.2 FY2017'!B33:E155,2,FALSE)</f>
        <v>Interest expenses</v>
      </c>
      <c r="D90" s="5">
        <f>VLOOKUP($B90,'1.2 FY2017'!$B$4:$E$126,3,FALSE)</f>
        <v>1007</v>
      </c>
      <c r="E90" s="5" t="str">
        <f>VLOOKUP($B90,'1.2 FY2017'!$B$4:$E$126,4,FALSE)</f>
        <v>Generco Semiconductors Ltd</v>
      </c>
      <c r="F90" s="5">
        <f>-SUMIF('1.1 FY2016'!$B:$B,'2.1 Database'!$B90,'1.1 FY2016'!$F:$F)</f>
        <v>0</v>
      </c>
      <c r="G90" s="5">
        <f>-SUMIF('1.2 FY2017'!$B:$B,'2.1 Database'!$B90,'1.2 FY2017'!$F:$F)</f>
        <v>0</v>
      </c>
      <c r="H90" s="5">
        <f>-SUMIF('1.3 FY2018'!$B:$B,'2.1 Database'!$B90,'1.3 FY2018'!$F:$F)</f>
        <v>0</v>
      </c>
      <c r="I90" s="2" t="str">
        <f>VLOOKUP($C90,'2.3 Mapping'!$B$4:$C$49,2,FALSE)</f>
        <v>Financial items</v>
      </c>
      <c r="J90" s="21">
        <f>COUNTIF('2.2 P&amp;L statement'!$B$4:$B$24,'2.1 Database'!I90)</f>
        <v>1</v>
      </c>
    </row>
    <row r="91" spans="2:10" x14ac:dyDescent="0.25">
      <c r="B91" s="5" t="s">
        <v>208</v>
      </c>
      <c r="C91" s="5" t="str">
        <f>VLOOKUP($B91,'1.2 FY2017'!B34:E156,2,FALSE)</f>
        <v>Interest expenses</v>
      </c>
      <c r="D91" s="5">
        <f>VLOOKUP($B91,'1.2 FY2017'!$B$4:$E$126,3,FALSE)</f>
        <v>111111</v>
      </c>
      <c r="E91" s="5" t="str">
        <f>VLOOKUP($B91,'1.2 FY2017'!$B$4:$E$126,4,FALSE)</f>
        <v>External</v>
      </c>
      <c r="F91" s="5">
        <f>-SUMIF('1.1 FY2016'!$B:$B,'2.1 Database'!$B91,'1.1 FY2016'!$F:$F)</f>
        <v>0</v>
      </c>
      <c r="G91" s="5">
        <f>-SUMIF('1.2 FY2017'!$B:$B,'2.1 Database'!$B91,'1.2 FY2017'!$F:$F)</f>
        <v>-1250.7950000000001</v>
      </c>
      <c r="H91" s="5">
        <f>-SUMIF('1.3 FY2018'!$B:$B,'2.1 Database'!$B91,'1.3 FY2018'!$F:$F)</f>
        <v>-51.454999999999998</v>
      </c>
      <c r="I91" s="2" t="str">
        <f>VLOOKUP($C91,'2.3 Mapping'!$B$4:$C$49,2,FALSE)</f>
        <v>Financial items</v>
      </c>
      <c r="J91" s="21">
        <f>COUNTIF('2.2 P&amp;L statement'!$B$4:$B$24,'2.1 Database'!I91)</f>
        <v>1</v>
      </c>
    </row>
    <row r="92" spans="2:10" x14ac:dyDescent="0.25">
      <c r="B92" s="5" t="s">
        <v>209</v>
      </c>
      <c r="C92" s="5" t="str">
        <f>VLOOKUP($B92,'1.2 FY2017'!B35:E157,2,FALSE)</f>
        <v>Impairment of participation</v>
      </c>
      <c r="D92" s="5">
        <f>VLOOKUP($B92,'1.2 FY2017'!$B$4:$E$126,3,FALSE)</f>
        <v>1240</v>
      </c>
      <c r="E92" s="5" t="str">
        <f>VLOOKUP($B92,'1.2 FY2017'!$B$4:$E$126,4,FALSE)</f>
        <v xml:space="preserve">Generco UK </v>
      </c>
      <c r="F92" s="5">
        <f>-SUMIF('1.1 FY2016'!$B:$B,'2.1 Database'!$B92,'1.1 FY2016'!$F:$F)</f>
        <v>0</v>
      </c>
      <c r="G92" s="5">
        <f>-SUMIF('1.2 FY2017'!$B:$B,'2.1 Database'!$B92,'1.2 FY2017'!$F:$F)</f>
        <v>-4130000</v>
      </c>
      <c r="H92" s="5">
        <f>-SUMIF('1.3 FY2018'!$B:$B,'2.1 Database'!$B92,'1.3 FY2018'!$F:$F)</f>
        <v>0</v>
      </c>
      <c r="I92" s="2" t="str">
        <f>VLOOKUP($C92,'2.3 Mapping'!$B$4:$C$49,2,FALSE)</f>
        <v>Extraordinary items</v>
      </c>
      <c r="J92" s="21">
        <f>COUNTIF('2.2 P&amp;L statement'!$B$4:$B$24,'2.1 Database'!I92)</f>
        <v>1</v>
      </c>
    </row>
    <row r="93" spans="2:10" x14ac:dyDescent="0.25">
      <c r="B93" s="5" t="s">
        <v>210</v>
      </c>
      <c r="C93" s="5" t="str">
        <f>VLOOKUP($B93,'1.2 FY2017'!B36:E158,2,FALSE)</f>
        <v>Quarterly changes in current taxes</v>
      </c>
      <c r="D93" s="5">
        <f>VLOOKUP($B93,'1.2 FY2017'!$B$4:$E$126,3,FALSE)</f>
        <v>111101</v>
      </c>
      <c r="E93" s="5" t="str">
        <f>VLOOKUP($B93,'1.2 FY2017'!$B$4:$E$126,4,FALSE)</f>
        <v>Not assigned</v>
      </c>
      <c r="F93" s="5">
        <f>-SUMIF('1.1 FY2016'!$B:$B,'2.1 Database'!$B93,'1.1 FY2016'!$F:$F)</f>
        <v>0</v>
      </c>
      <c r="G93" s="5">
        <f>-SUMIF('1.2 FY2017'!$B:$B,'2.1 Database'!$B93,'1.2 FY2017'!$F:$F)</f>
        <v>0</v>
      </c>
      <c r="H93" s="5">
        <f>-SUMIF('1.3 FY2018'!$B:$B,'2.1 Database'!$B93,'1.3 FY2018'!$F:$F)</f>
        <v>0</v>
      </c>
      <c r="I93" s="2" t="str">
        <f>VLOOKUP($C93,'2.3 Mapping'!$B$4:$C$49,2,FALSE)</f>
        <v>-</v>
      </c>
      <c r="J93" s="21">
        <f>COUNTIF('2.2 P&amp;L statement'!$B$4:$B$24,'2.1 Database'!I93)</f>
        <v>0</v>
      </c>
    </row>
    <row r="94" spans="2:10" x14ac:dyDescent="0.25">
      <c r="B94" s="5" t="s">
        <v>211</v>
      </c>
      <c r="C94" s="5" t="str">
        <f>VLOOKUP($B94,'1.2 FY2017'!B37:E159,2,FALSE)</f>
        <v>Net income/(loss)</v>
      </c>
      <c r="D94" s="5">
        <f>VLOOKUP($B94,'1.2 FY2017'!$B$4:$E$126,3,FALSE)</f>
        <v>111101</v>
      </c>
      <c r="E94" s="5" t="str">
        <f>VLOOKUP($B94,'1.2 FY2017'!$B$4:$E$126,4,FALSE)</f>
        <v>Not assigned</v>
      </c>
      <c r="F94" s="5">
        <f>SUMIF('1.1 FY2016'!$B:$B,'2.1 Database'!$B94,'1.1 FY2016'!$F:$F)</f>
        <v>0</v>
      </c>
      <c r="G94" s="5">
        <f>SUMIF('1.2 FY2017'!$B:$B,'2.1 Database'!$B94,'1.2 FY2017'!$F:$F)</f>
        <v>6073808.1600000001</v>
      </c>
      <c r="H94" s="5">
        <f>SUMIF('1.3 FY2018'!$B:$B,'2.1 Database'!$B94,'1.3 FY2018'!$F:$F)</f>
        <v>-779290.47600000002</v>
      </c>
      <c r="I94" s="2" t="str">
        <f>VLOOKUP($C94,'2.3 Mapping'!$B$4:$C$49,2,FALSE)</f>
        <v>Net Income</v>
      </c>
      <c r="J94" s="21">
        <f>COUNTIF('2.2 P&amp;L statement'!$B$4:$B$24,'2.1 Database'!I94)</f>
        <v>1</v>
      </c>
    </row>
    <row r="95" spans="2:10" x14ac:dyDescent="0.25">
      <c r="B95" s="5" t="s">
        <v>212</v>
      </c>
      <c r="C95" s="5" t="str">
        <f>VLOOKUP($B95,'1.3 FY2018'!$B$4:$E$114,2,FALSE)</f>
        <v>Operating expenses for utilities</v>
      </c>
      <c r="D95" s="5">
        <f>VLOOKUP($B95,'1.3 FY2018'!$B$4:$E$114,3,FALSE)</f>
        <v>111111</v>
      </c>
      <c r="E95" s="5" t="str">
        <f>VLOOKUP($B95,'1.3 FY2018'!$B$4:$E$114,4,FALSE)</f>
        <v>External</v>
      </c>
      <c r="F95" s="5">
        <f>-SUMIF('1.1 FY2016'!$B:$B,'2.1 Database'!$B95,'1.1 FY2016'!$F:$F)</f>
        <v>0</v>
      </c>
      <c r="G95" s="5">
        <f>-SUMIF('1.2 FY2017'!$B:$B,'2.1 Database'!$B95,'1.2 FY2017'!$F:$F)</f>
        <v>0</v>
      </c>
      <c r="H95" s="5">
        <f>-SUMIF('1.3 FY2018'!$B:$B,'2.1 Database'!$B95,'1.3 FY2018'!$F:$F)</f>
        <v>-13691.949999999999</v>
      </c>
      <c r="I95" s="2" t="str">
        <f>VLOOKUP($C95,'2.3 Mapping'!$B$4:$C$49,2,FALSE)</f>
        <v>Other operating expenses</v>
      </c>
      <c r="J95" s="21">
        <f>COUNTIF('2.2 P&amp;L statement'!$B$4:$B$24,'2.1 Database'!I95)</f>
        <v>1</v>
      </c>
    </row>
    <row r="96" spans="2:10" x14ac:dyDescent="0.25">
      <c r="B96" s="5" t="s">
        <v>213</v>
      </c>
      <c r="C96" s="5" t="str">
        <f>VLOOKUP($B96,'1.3 FY2018'!$B$4:$E$114,2,FALSE)</f>
        <v>R&amp;D expenses</v>
      </c>
      <c r="D96" s="5" t="str">
        <f>VLOOKUP($B96,'1.3 FY2018'!$B$4:$E$114,3,FALSE)</f>
        <v>2185</v>
      </c>
      <c r="E96" s="5" t="str">
        <f>VLOOKUP($B96,'1.3 FY2018'!$B$4:$E$114,4,FALSE)</f>
        <v>Generco Green Projects GmbH</v>
      </c>
      <c r="F96" s="5">
        <f>-SUMIF('1.1 FY2016'!$B:$B,'2.1 Database'!$B96,'1.1 FY2016'!$F:$F)</f>
        <v>0</v>
      </c>
      <c r="G96" s="5">
        <f>-SUMIF('1.2 FY2017'!$B:$B,'2.1 Database'!$B96,'1.2 FY2017'!$F:$F)</f>
        <v>0</v>
      </c>
      <c r="H96" s="5">
        <f>-SUMIF('1.3 FY2018'!$B:$B,'2.1 Database'!$B96,'1.3 FY2018'!$F:$F)</f>
        <v>-192017.14499999996</v>
      </c>
      <c r="I96" s="2" t="str">
        <f>VLOOKUP($C96,'2.3 Mapping'!$B$4:$C$49,2,FALSE)</f>
        <v>Other operating expenses</v>
      </c>
      <c r="J96" s="21">
        <f>COUNTIF('2.2 P&amp;L statement'!$B$4:$B$24,'2.1 Database'!I96)</f>
        <v>1</v>
      </c>
    </row>
    <row r="97" spans="2:10" x14ac:dyDescent="0.25">
      <c r="B97" s="5" t="s">
        <v>214</v>
      </c>
      <c r="C97" s="5" t="str">
        <f>VLOOKUP($B97,'1.3 FY2018'!$B$4:$E$114,2,FALSE)</f>
        <v>R&amp;D expenses</v>
      </c>
      <c r="D97" s="5" t="str">
        <f>VLOOKUP($B97,'1.3 FY2018'!$B$4:$E$114,3,FALSE)</f>
        <v>2240</v>
      </c>
      <c r="E97" s="5" t="str">
        <f>VLOOKUP($B97,'1.3 FY2018'!$B$4:$E$114,4,FALSE)</f>
        <v>Greeny Germany GmbH</v>
      </c>
      <c r="F97" s="5">
        <f>-SUMIF('1.1 FY2016'!$B:$B,'2.1 Database'!$B97,'1.1 FY2016'!$F:$F)</f>
        <v>0</v>
      </c>
      <c r="G97" s="5">
        <f>-SUMIF('1.2 FY2017'!$B:$B,'2.1 Database'!$B97,'1.2 FY2017'!$F:$F)</f>
        <v>0</v>
      </c>
      <c r="H97" s="5">
        <f>-SUMIF('1.3 FY2018'!$B:$B,'2.1 Database'!$B97,'1.3 FY2018'!$F:$F)</f>
        <v>-375290.46599999996</v>
      </c>
      <c r="I97" s="2" t="str">
        <f>VLOOKUP($C97,'2.3 Mapping'!$B$4:$C$49,2,FALSE)</f>
        <v>Other operating expenses</v>
      </c>
      <c r="J97" s="21">
        <f>COUNTIF('2.2 P&amp;L statement'!$B$4:$B$24,'2.1 Database'!I97)</f>
        <v>1</v>
      </c>
    </row>
    <row r="98" spans="2:10" x14ac:dyDescent="0.25">
      <c r="B98" s="5" t="s">
        <v>215</v>
      </c>
      <c r="C98" s="5" t="str">
        <f>VLOOKUP($B98,'1.3 FY2018'!$B$4:$E$114,2,FALSE)</f>
        <v>R&amp;D expenses</v>
      </c>
      <c r="D98" s="5">
        <f>VLOOKUP($B98,'1.3 FY2018'!$B$4:$E$114,3,FALSE)</f>
        <v>17000</v>
      </c>
      <c r="E98" s="5" t="str">
        <f>VLOOKUP($B98,'1.3 FY2018'!$B$4:$E$114,4,FALSE)</f>
        <v>Generco Risk Management Ltd</v>
      </c>
      <c r="F98" s="5">
        <f>-SUMIF('1.1 FY2016'!$B:$B,'2.1 Database'!$B98,'1.1 FY2016'!$F:$F)</f>
        <v>0</v>
      </c>
      <c r="G98" s="5">
        <f>-SUMIF('1.2 FY2017'!$B:$B,'2.1 Database'!$B98,'1.2 FY2017'!$F:$F)</f>
        <v>0</v>
      </c>
      <c r="H98" s="5">
        <f>-SUMIF('1.3 FY2018'!$B:$B,'2.1 Database'!$B98,'1.3 FY2018'!$F:$F)</f>
        <v>-4920</v>
      </c>
      <c r="I98" s="2" t="str">
        <f>VLOOKUP($C98,'2.3 Mapping'!$B$4:$C$49,2,FALSE)</f>
        <v>Other operating expenses</v>
      </c>
      <c r="J98" s="21">
        <f>COUNTIF('2.2 P&amp;L statement'!$B$4:$B$24,'2.1 Database'!I98)</f>
        <v>1</v>
      </c>
    </row>
    <row r="99" spans="2:10" x14ac:dyDescent="0.25">
      <c r="B99" s="5" t="s">
        <v>216</v>
      </c>
      <c r="C99" s="5" t="str">
        <f>VLOOKUP($B99,'1.3 FY2018'!$B$4:$E$114,2,FALSE)</f>
        <v>Other operative currency differences</v>
      </c>
      <c r="D99" s="5" t="str">
        <f>VLOOKUP($B99,'1.3 FY2018'!$B$4:$E$114,3,FALSE)</f>
        <v>1118</v>
      </c>
      <c r="E99" s="5" t="str">
        <f>VLOOKUP($B99,'1.3 FY2018'!$B$4:$E$114,4,FALSE)</f>
        <v>Gener Green LLC</v>
      </c>
      <c r="F99" s="5">
        <f>-SUMIF('1.1 FY2016'!$B:$B,'2.1 Database'!$B99,'1.1 FY2016'!$F:$F)</f>
        <v>0</v>
      </c>
      <c r="G99" s="5">
        <f>-SUMIF('1.2 FY2017'!$B:$B,'2.1 Database'!$B99,'1.2 FY2017'!$F:$F)</f>
        <v>0</v>
      </c>
      <c r="H99" s="5">
        <f>-SUMIF('1.3 FY2018'!$B:$B,'2.1 Database'!$B99,'1.3 FY2018'!$F:$F)</f>
        <v>0</v>
      </c>
      <c r="I99" s="2" t="str">
        <f>VLOOKUP($C99,'2.3 Mapping'!$B$4:$C$49,2,FALSE)</f>
        <v>Other operating expenses</v>
      </c>
      <c r="J99" s="21">
        <f>COUNTIF('2.2 P&amp;L statement'!$B$4:$B$24,'2.1 Database'!I99)</f>
        <v>1</v>
      </c>
    </row>
    <row r="100" spans="2:10" x14ac:dyDescent="0.25">
      <c r="B100" s="5" t="s">
        <v>217</v>
      </c>
      <c r="C100" s="5" t="str">
        <f>VLOOKUP($B100,'1.3 FY2018'!$B$4:$E$114,2,FALSE)</f>
        <v>Other operative currency differences</v>
      </c>
      <c r="D100" s="5">
        <f>VLOOKUP($B100,'1.3 FY2018'!$B$4:$E$114,3,FALSE)</f>
        <v>111111</v>
      </c>
      <c r="E100" s="5" t="str">
        <f>VLOOKUP($B100,'1.3 FY2018'!$B$4:$E$114,4,FALSE)</f>
        <v>External</v>
      </c>
      <c r="F100" s="5">
        <f>-SUMIF('1.1 FY2016'!$B:$B,'2.1 Database'!$B100,'1.1 FY2016'!$F:$F)</f>
        <v>0</v>
      </c>
      <c r="G100" s="5">
        <f>-SUMIF('1.2 FY2017'!$B:$B,'2.1 Database'!$B100,'1.2 FY2017'!$F:$F)</f>
        <v>0</v>
      </c>
      <c r="H100" s="5">
        <f>-SUMIF('1.3 FY2018'!$B:$B,'2.1 Database'!$B100,'1.3 FY2018'!$F:$F)</f>
        <v>1252.8369999999998</v>
      </c>
      <c r="I100" s="2" t="str">
        <f>VLOOKUP($C100,'2.3 Mapping'!$B$4:$C$49,2,FALSE)</f>
        <v>Other operating expenses</v>
      </c>
      <c r="J100" s="21">
        <f>COUNTIF('2.2 P&amp;L statement'!$B$4:$B$24,'2.1 Database'!I100)</f>
        <v>1</v>
      </c>
    </row>
    <row r="101" spans="2:10" x14ac:dyDescent="0.25">
      <c r="B101" s="5" t="s">
        <v>218</v>
      </c>
      <c r="C101" s="5" t="str">
        <f>VLOOKUP($B101,'1.3 FY2018'!$B$4:$E$114,2,FALSE)</f>
        <v>Corporate recharges</v>
      </c>
      <c r="D101" s="5">
        <f>VLOOKUP($B101,'1.3 FY2018'!$B$4:$E$114,3,FALSE)</f>
        <v>1006</v>
      </c>
      <c r="E101" s="5" t="str">
        <f>VLOOKUP($B101,'1.3 FY2018'!$B$4:$E$114,4,FALSE)</f>
        <v>Generco Mining GmbH</v>
      </c>
      <c r="F101" s="5">
        <f>-SUMIF('1.1 FY2016'!$B:$B,'2.1 Database'!$B101,'1.1 FY2016'!$F:$F)</f>
        <v>0</v>
      </c>
      <c r="G101" s="5">
        <f>-SUMIF('1.2 FY2017'!$B:$B,'2.1 Database'!$B101,'1.2 FY2017'!$F:$F)</f>
        <v>0</v>
      </c>
      <c r="H101" s="5">
        <f>-SUMIF('1.3 FY2018'!$B:$B,'2.1 Database'!$B101,'1.3 FY2018'!$F:$F)</f>
        <v>0</v>
      </c>
      <c r="I101" s="2" t="str">
        <f>VLOOKUP($C101,'2.3 Mapping'!$B$4:$C$49,2,FALSE)</f>
        <v>Recharges</v>
      </c>
      <c r="J101" s="21">
        <f>COUNTIF('2.2 P&amp;L statement'!$B$4:$B$24,'2.1 Database'!I101)</f>
        <v>1</v>
      </c>
    </row>
    <row r="102" spans="2:10" x14ac:dyDescent="0.25">
      <c r="B102" s="5" t="s">
        <v>219</v>
      </c>
      <c r="C102" s="5" t="str">
        <f>VLOOKUP($B102,'1.3 FY2018'!$B$4:$E$114,2,FALSE)</f>
        <v>Reimbursements+compensation for damages</v>
      </c>
      <c r="D102" s="5">
        <f>VLOOKUP($B102,'1.3 FY2018'!$B$4:$E$114,3,FALSE)</f>
        <v>111111</v>
      </c>
      <c r="E102" s="5" t="str">
        <f>VLOOKUP($B102,'1.3 FY2018'!$B$4:$E$114,4,FALSE)</f>
        <v>External</v>
      </c>
      <c r="F102" s="5">
        <f>-SUMIF('1.1 FY2016'!$B:$B,'2.1 Database'!$B102,'1.1 FY2016'!$F:$F)</f>
        <v>0</v>
      </c>
      <c r="G102" s="5">
        <f>-SUMIF('1.2 FY2017'!$B:$B,'2.1 Database'!$B102,'1.2 FY2017'!$F:$F)</f>
        <v>0</v>
      </c>
      <c r="H102" s="5">
        <f>-SUMIF('1.3 FY2018'!$B:$B,'2.1 Database'!$B102,'1.3 FY2018'!$F:$F)</f>
        <v>61499.999999999993</v>
      </c>
      <c r="I102" s="2" t="str">
        <f>VLOOKUP($C102,'2.3 Mapping'!$B$4:$C$49,2,FALSE)</f>
        <v>Other operating expenses</v>
      </c>
      <c r="J102" s="21">
        <f>COUNTIF('2.2 P&amp;L statement'!$B$4:$B$24,'2.1 Database'!I102)</f>
        <v>1</v>
      </c>
    </row>
    <row r="103" spans="2:10" x14ac:dyDescent="0.25">
      <c r="B103" s="5" t="s">
        <v>220</v>
      </c>
      <c r="C103" s="5" t="str">
        <f>VLOOKUP($B103,'1.3 FY2018'!$B$4:$E$114,2,FALSE)</f>
        <v>Other income</v>
      </c>
      <c r="D103" s="5">
        <f>VLOOKUP($B103,'1.3 FY2018'!$B$4:$E$114,3,FALSE)</f>
        <v>105</v>
      </c>
      <c r="E103" s="5" t="str">
        <f>VLOOKUP($B103,'1.3 FY2018'!$B$4:$E$114,4,FALSE)</f>
        <v>Generco Healthcare Ltd</v>
      </c>
      <c r="F103" s="5">
        <f>-SUMIF('1.1 FY2016'!$B:$B,'2.1 Database'!$B103,'1.1 FY2016'!$F:$F)</f>
        <v>0</v>
      </c>
      <c r="G103" s="5">
        <f>-SUMIF('1.2 FY2017'!$B:$B,'2.1 Database'!$B103,'1.2 FY2017'!$F:$F)</f>
        <v>0</v>
      </c>
      <c r="H103" s="5">
        <f>-SUMIF('1.3 FY2018'!$B:$B,'2.1 Database'!$B103,'1.3 FY2018'!$F:$F)</f>
        <v>30913.425999999996</v>
      </c>
      <c r="I103" s="2" t="str">
        <f>VLOOKUP($C103,'2.3 Mapping'!$B$4:$C$49,2,FALSE)</f>
        <v>Other income</v>
      </c>
      <c r="J103" s="21">
        <f>COUNTIF('2.2 P&amp;L statement'!$B$4:$B$24,'2.1 Database'!I103)</f>
        <v>1</v>
      </c>
    </row>
    <row r="104" spans="2:10" x14ac:dyDescent="0.25">
      <c r="B104" s="5" t="s">
        <v>221</v>
      </c>
      <c r="C104" s="5" t="str">
        <f>VLOOKUP($B104,'1.3 FY2018'!$B$4:$E$114,2,FALSE)</f>
        <v>Leasings</v>
      </c>
      <c r="D104" s="5">
        <f>VLOOKUP($B104,'1.3 FY2018'!$B$4:$E$114,3,FALSE)</f>
        <v>105</v>
      </c>
      <c r="E104" s="5" t="str">
        <f>VLOOKUP($B104,'1.3 FY2018'!$B$4:$E$114,4,FALSE)</f>
        <v>Generco Healthcare Ltd</v>
      </c>
      <c r="F104" s="5">
        <f>-SUMIF('1.1 FY2016'!$B:$B,'2.1 Database'!$B104,'1.1 FY2016'!$F:$F)</f>
        <v>0</v>
      </c>
      <c r="G104" s="5">
        <f>-SUMIF('1.2 FY2017'!$B:$B,'2.1 Database'!$B104,'1.2 FY2017'!$F:$F)</f>
        <v>0</v>
      </c>
      <c r="H104" s="5">
        <f>-SUMIF('1.3 FY2018'!$B:$B,'2.1 Database'!$B104,'1.3 FY2018'!$F:$F)</f>
        <v>1423120</v>
      </c>
      <c r="I104" s="2" t="str">
        <f>VLOOKUP($C104,'2.3 Mapping'!$B$4:$C$49,2,FALSE)</f>
        <v>Leasing</v>
      </c>
      <c r="J104" s="21">
        <f>COUNTIF('2.2 P&amp;L statement'!$B$4:$B$24,'2.1 Database'!I104)</f>
        <v>1</v>
      </c>
    </row>
    <row r="105" spans="2:10" x14ac:dyDescent="0.25">
      <c r="B105" s="5" t="s">
        <v>222</v>
      </c>
      <c r="C105" s="5" t="str">
        <f>VLOOKUP($B105,'1.3 FY2018'!$B$4:$E$114,2,FALSE)</f>
        <v>Insurance expenses</v>
      </c>
      <c r="D105" s="5">
        <f>VLOOKUP($B105,'1.3 FY2018'!$B$4:$E$114,3,FALSE)</f>
        <v>88</v>
      </c>
      <c r="E105" s="5" t="str">
        <f>VLOOKUP($B105,'1.3 FY2018'!$B$4:$E$114,4,FALSE)</f>
        <v>Generco Ltd</v>
      </c>
      <c r="F105" s="5">
        <f>-SUMIF('1.1 FY2016'!$B:$B,'2.1 Database'!$B105,'1.1 FY2016'!$F:$F)</f>
        <v>0</v>
      </c>
      <c r="G105" s="5">
        <f>-SUMIF('1.2 FY2017'!$B:$B,'2.1 Database'!$B105,'1.2 FY2017'!$F:$F)</f>
        <v>0</v>
      </c>
      <c r="H105" s="5">
        <f>-SUMIF('1.3 FY2018'!$B:$B,'2.1 Database'!$B105,'1.3 FY2018'!$F:$F)</f>
        <v>-584.66</v>
      </c>
      <c r="I105" s="2" t="str">
        <f>VLOOKUP($C105,'2.3 Mapping'!$B$4:$C$49,2,FALSE)</f>
        <v>Other operating expenses</v>
      </c>
      <c r="J105" s="21">
        <f>COUNTIF('2.2 P&amp;L statement'!$B$4:$B$24,'2.1 Database'!I105)</f>
        <v>1</v>
      </c>
    </row>
    <row r="106" spans="2:10" x14ac:dyDescent="0.25">
      <c r="B106" s="5" t="s">
        <v>223</v>
      </c>
      <c r="C106" s="5" t="str">
        <f>VLOOKUP($B106,'1.3 FY2018'!$B$4:$E$114,2,FALSE)</f>
        <v>Repairs/Maintenance costs</v>
      </c>
      <c r="D106" s="5">
        <f>VLOOKUP($B106,'1.3 FY2018'!$B$4:$E$114,3,FALSE)</f>
        <v>111111</v>
      </c>
      <c r="E106" s="5" t="str">
        <f>VLOOKUP($B106,'1.3 FY2018'!$B$4:$E$114,4,FALSE)</f>
        <v>External</v>
      </c>
      <c r="F106" s="5">
        <f>-SUMIF('1.1 FY2016'!$B:$B,'2.1 Database'!$B106,'1.1 FY2016'!$F:$F)</f>
        <v>0</v>
      </c>
      <c r="G106" s="5">
        <f>-SUMIF('1.2 FY2017'!$B:$B,'2.1 Database'!$B106,'1.2 FY2017'!$F:$F)</f>
        <v>0</v>
      </c>
      <c r="H106" s="5">
        <f>-SUMIF('1.3 FY2018'!$B:$B,'2.1 Database'!$B106,'1.3 FY2018'!$F:$F)</f>
        <v>-1352.9999999999998</v>
      </c>
      <c r="I106" s="2" t="str">
        <f>VLOOKUP($C106,'2.3 Mapping'!$B$4:$C$49,2,FALSE)</f>
        <v>Other operating expenses</v>
      </c>
      <c r="J106" s="21">
        <f>COUNTIF('2.2 P&amp;L statement'!$B$4:$B$24,'2.1 Database'!I106)</f>
        <v>1</v>
      </c>
    </row>
    <row r="107" spans="2:10" x14ac:dyDescent="0.25">
      <c r="B107" s="5" t="s">
        <v>224</v>
      </c>
      <c r="C107" s="5" t="str">
        <f>VLOOKUP($B107,'1.3 FY2018'!$B$4:$E$114,2,FALSE)</f>
        <v>Impairment of participation</v>
      </c>
      <c r="D107" s="5">
        <f>VLOOKUP($B107,'1.3 FY2018'!$B$4:$E$114,3,FALSE)</f>
        <v>111101</v>
      </c>
      <c r="E107" s="5" t="str">
        <f>VLOOKUP($B107,'1.3 FY2018'!$B$4:$E$114,4,FALSE)</f>
        <v>Not assigned</v>
      </c>
      <c r="F107" s="5">
        <f>-SUMIF('1.1 FY2016'!$B:$B,'2.1 Database'!$B107,'1.1 FY2016'!$F:$F)</f>
        <v>0</v>
      </c>
      <c r="G107" s="5">
        <f>-SUMIF('1.2 FY2017'!$B:$B,'2.1 Database'!$B107,'1.2 FY2017'!$F:$F)</f>
        <v>0</v>
      </c>
      <c r="H107" s="5">
        <f>-SUMIF('1.3 FY2018'!$B:$B,'2.1 Database'!$B107,'1.3 FY2018'!$F:$F)</f>
        <v>0</v>
      </c>
      <c r="I107" s="2" t="str">
        <f>VLOOKUP($C107,'2.3 Mapping'!$B$4:$C$49,2,FALSE)</f>
        <v>Extraordinary items</v>
      </c>
      <c r="J107" s="21">
        <f>COUNTIF('2.2 P&amp;L statement'!$B$4:$B$24,'2.1 Database'!I107)</f>
        <v>1</v>
      </c>
    </row>
    <row r="108" spans="2:10" x14ac:dyDescent="0.25">
      <c r="B108" s="5" t="s">
        <v>225</v>
      </c>
      <c r="C108" s="5" t="str">
        <f>VLOOKUP($B108,'1.3 FY2018'!$B$4:$E$114,2,FALSE)</f>
        <v>Offset segments (tech.)</v>
      </c>
      <c r="D108" s="5">
        <f>VLOOKUP($B108,'1.3 FY2018'!$B$4:$E$114,3,FALSE)</f>
        <v>111101</v>
      </c>
      <c r="E108" s="5" t="str">
        <f>VLOOKUP($B108,'1.3 FY2018'!$B$4:$E$114,4,FALSE)</f>
        <v>Not assigned</v>
      </c>
      <c r="F108" s="5">
        <f>-SUMIF('1.1 FY2016'!$B:$B,'2.1 Database'!$B108,'1.1 FY2016'!$F:$F)</f>
        <v>0</v>
      </c>
      <c r="G108" s="5">
        <f>-SUMIF('1.2 FY2017'!$B:$B,'2.1 Database'!$B108,'1.2 FY2017'!$F:$F)</f>
        <v>0</v>
      </c>
      <c r="H108" s="5">
        <f>-SUMIF('1.3 FY2018'!$B:$B,'2.1 Database'!$B108,'1.3 FY2018'!$F:$F)</f>
        <v>0</v>
      </c>
      <c r="I108" s="2" t="str">
        <f>VLOOKUP($C108,'2.3 Mapping'!$B$4:$C$49,2,FALSE)</f>
        <v>-</v>
      </c>
      <c r="J108" s="21">
        <f>COUNTIF('2.2 P&amp;L statement'!$B$4:$B$24,'2.1 Database'!I108)</f>
        <v>0</v>
      </c>
    </row>
    <row r="109" spans="2:10" ht="14.5" x14ac:dyDescent="0.35">
      <c r="B109" s="23"/>
      <c r="C109" s="24"/>
      <c r="D109" s="5"/>
      <c r="E109" s="5"/>
      <c r="F109" s="5"/>
      <c r="G109" s="5"/>
      <c r="H109" s="5"/>
    </row>
    <row r="110" spans="2:10" ht="14.5" x14ac:dyDescent="0.35">
      <c r="B110"/>
      <c r="G110" s="5"/>
    </row>
    <row r="111" spans="2:10" ht="14.5" x14ac:dyDescent="0.35">
      <c r="B111"/>
    </row>
    <row r="112" spans="2:10" ht="14.5" x14ac:dyDescent="0.35">
      <c r="B112"/>
    </row>
    <row r="113" spans="2:2" ht="14.5" x14ac:dyDescent="0.35">
      <c r="B113"/>
    </row>
    <row r="114" spans="2:2" ht="14.5" x14ac:dyDescent="0.35">
      <c r="B114"/>
    </row>
    <row r="115" spans="2:2" ht="14.5" x14ac:dyDescent="0.35">
      <c r="B115"/>
    </row>
    <row r="116" spans="2:2" ht="14.5" x14ac:dyDescent="0.35">
      <c r="B116"/>
    </row>
    <row r="117" spans="2:2" ht="14.5" x14ac:dyDescent="0.35">
      <c r="B117"/>
    </row>
    <row r="118" spans="2:2" ht="14.5" x14ac:dyDescent="0.35">
      <c r="B118"/>
    </row>
    <row r="119" spans="2:2" ht="14.5" x14ac:dyDescent="0.35">
      <c r="B119"/>
    </row>
    <row r="120" spans="2:2" ht="14.5" x14ac:dyDescent="0.35">
      <c r="B120"/>
    </row>
    <row r="121" spans="2:2" ht="14.5" x14ac:dyDescent="0.35">
      <c r="B121"/>
    </row>
    <row r="122" spans="2:2" ht="14.5" x14ac:dyDescent="0.35">
      <c r="B122"/>
    </row>
    <row r="123" spans="2:2" ht="14.5" x14ac:dyDescent="0.35">
      <c r="B123"/>
    </row>
    <row r="124" spans="2:2" ht="14.5" x14ac:dyDescent="0.35">
      <c r="B124"/>
    </row>
    <row r="125" spans="2:2" ht="14.5" x14ac:dyDescent="0.35">
      <c r="B125"/>
    </row>
    <row r="126" spans="2:2" ht="14.5" x14ac:dyDescent="0.35">
      <c r="B126"/>
    </row>
    <row r="127" spans="2:2" ht="14.5" x14ac:dyDescent="0.35">
      <c r="B127"/>
    </row>
    <row r="128" spans="2:2" ht="14.5" x14ac:dyDescent="0.35">
      <c r="B128"/>
    </row>
    <row r="129" spans="2:2" ht="14.5" x14ac:dyDescent="0.35">
      <c r="B129"/>
    </row>
    <row r="130" spans="2:2" ht="14.5" x14ac:dyDescent="0.35">
      <c r="B130"/>
    </row>
    <row r="131" spans="2:2" ht="14.5" x14ac:dyDescent="0.35">
      <c r="B131"/>
    </row>
    <row r="132" spans="2:2" ht="14.5" x14ac:dyDescent="0.35">
      <c r="B132"/>
    </row>
    <row r="133" spans="2:2" ht="14.5" x14ac:dyDescent="0.35">
      <c r="B133"/>
    </row>
    <row r="134" spans="2:2" ht="14.5" x14ac:dyDescent="0.35">
      <c r="B134"/>
    </row>
    <row r="135" spans="2:2" ht="14.5" x14ac:dyDescent="0.35">
      <c r="B135"/>
    </row>
    <row r="136" spans="2:2" ht="14.5" x14ac:dyDescent="0.35">
      <c r="B136"/>
    </row>
    <row r="137" spans="2:2" ht="14.5" x14ac:dyDescent="0.35">
      <c r="B137"/>
    </row>
    <row r="138" spans="2:2" ht="14.5" x14ac:dyDescent="0.35">
      <c r="B138"/>
    </row>
    <row r="139" spans="2:2" ht="14.5" x14ac:dyDescent="0.35">
      <c r="B139"/>
    </row>
    <row r="140" spans="2:2" ht="14.5" x14ac:dyDescent="0.35">
      <c r="B140"/>
    </row>
    <row r="141" spans="2:2" ht="14.5" x14ac:dyDescent="0.35">
      <c r="B141"/>
    </row>
    <row r="142" spans="2:2" ht="14.5" x14ac:dyDescent="0.35">
      <c r="B142"/>
    </row>
    <row r="143" spans="2:2" ht="14.5" x14ac:dyDescent="0.35">
      <c r="B143"/>
    </row>
    <row r="144" spans="2:2" ht="14.5" x14ac:dyDescent="0.35">
      <c r="B144"/>
    </row>
    <row r="145" spans="2:2" ht="14.5" x14ac:dyDescent="0.35">
      <c r="B145"/>
    </row>
    <row r="146" spans="2:2" ht="14.5" x14ac:dyDescent="0.35">
      <c r="B146"/>
    </row>
    <row r="147" spans="2:2" ht="14.5" x14ac:dyDescent="0.35">
      <c r="B147"/>
    </row>
    <row r="148" spans="2:2" ht="14.5" x14ac:dyDescent="0.35">
      <c r="B148"/>
    </row>
    <row r="149" spans="2:2" ht="14.5" x14ac:dyDescent="0.35">
      <c r="B149"/>
    </row>
    <row r="150" spans="2:2" ht="14.5" x14ac:dyDescent="0.35">
      <c r="B150"/>
    </row>
    <row r="151" spans="2:2" ht="14.5" x14ac:dyDescent="0.35">
      <c r="B151"/>
    </row>
    <row r="152" spans="2:2" ht="14.5" x14ac:dyDescent="0.35">
      <c r="B152"/>
    </row>
    <row r="153" spans="2:2" ht="14.5" x14ac:dyDescent="0.35">
      <c r="B153"/>
    </row>
    <row r="154" spans="2:2" ht="14.5" x14ac:dyDescent="0.35">
      <c r="B154"/>
    </row>
    <row r="155" spans="2:2" ht="14.5" x14ac:dyDescent="0.35">
      <c r="B155"/>
    </row>
    <row r="156" spans="2:2" ht="14.5" x14ac:dyDescent="0.35">
      <c r="B156"/>
    </row>
    <row r="157" spans="2:2" ht="14.5" x14ac:dyDescent="0.35">
      <c r="B157"/>
    </row>
    <row r="158" spans="2:2" ht="14.5" x14ac:dyDescent="0.35">
      <c r="B158"/>
    </row>
    <row r="159" spans="2:2" ht="14.5" x14ac:dyDescent="0.35">
      <c r="B159"/>
    </row>
    <row r="160" spans="2:2" ht="14.5" x14ac:dyDescent="0.35">
      <c r="B160"/>
    </row>
    <row r="161" spans="2:2" ht="14.5" x14ac:dyDescent="0.35">
      <c r="B161"/>
    </row>
    <row r="162" spans="2:2" ht="14.5" x14ac:dyDescent="0.35">
      <c r="B162"/>
    </row>
    <row r="163" spans="2:2" ht="14.5" x14ac:dyDescent="0.35">
      <c r="B163"/>
    </row>
    <row r="164" spans="2:2" ht="14.5" x14ac:dyDescent="0.35">
      <c r="B164"/>
    </row>
    <row r="165" spans="2:2" ht="14.5" x14ac:dyDescent="0.35">
      <c r="B165"/>
    </row>
    <row r="166" spans="2:2" ht="14.5" x14ac:dyDescent="0.35">
      <c r="B166"/>
    </row>
    <row r="167" spans="2:2" ht="14.5" x14ac:dyDescent="0.35">
      <c r="B167"/>
    </row>
    <row r="168" spans="2:2" ht="14.5" x14ac:dyDescent="0.35">
      <c r="B168"/>
    </row>
    <row r="169" spans="2:2" ht="14.5" x14ac:dyDescent="0.35">
      <c r="B169"/>
    </row>
    <row r="170" spans="2:2" ht="14.5" x14ac:dyDescent="0.35">
      <c r="B170"/>
    </row>
    <row r="171" spans="2:2" ht="14.5" x14ac:dyDescent="0.35">
      <c r="B171"/>
    </row>
    <row r="172" spans="2:2" ht="14.5" x14ac:dyDescent="0.35">
      <c r="B172"/>
    </row>
    <row r="173" spans="2:2" ht="14.5" x14ac:dyDescent="0.35">
      <c r="B173"/>
    </row>
    <row r="174" spans="2:2" ht="14.5" x14ac:dyDescent="0.35">
      <c r="B174"/>
    </row>
    <row r="175" spans="2:2" ht="14.5" x14ac:dyDescent="0.35">
      <c r="B175"/>
    </row>
    <row r="176" spans="2:2" ht="14.5" x14ac:dyDescent="0.35">
      <c r="B176"/>
    </row>
    <row r="177" spans="2:2" ht="14.5" x14ac:dyDescent="0.35">
      <c r="B177"/>
    </row>
    <row r="178" spans="2:2" ht="14.5" x14ac:dyDescent="0.35">
      <c r="B178"/>
    </row>
    <row r="179" spans="2:2" ht="14.5" x14ac:dyDescent="0.35">
      <c r="B179"/>
    </row>
    <row r="180" spans="2:2" ht="14.5" x14ac:dyDescent="0.35">
      <c r="B180"/>
    </row>
    <row r="181" spans="2:2" ht="14.5" x14ac:dyDescent="0.35">
      <c r="B181"/>
    </row>
    <row r="182" spans="2:2" ht="14.5" x14ac:dyDescent="0.35">
      <c r="B182"/>
    </row>
    <row r="183" spans="2:2" ht="14.5" x14ac:dyDescent="0.35">
      <c r="B183"/>
    </row>
    <row r="184" spans="2:2" ht="14.5" x14ac:dyDescent="0.35">
      <c r="B184"/>
    </row>
    <row r="185" spans="2:2" ht="14.5" x14ac:dyDescent="0.35">
      <c r="B185"/>
    </row>
    <row r="186" spans="2:2" ht="14.5" x14ac:dyDescent="0.35">
      <c r="B186"/>
    </row>
    <row r="187" spans="2:2" ht="14.5" x14ac:dyDescent="0.35">
      <c r="B187"/>
    </row>
    <row r="188" spans="2:2" ht="14.5" x14ac:dyDescent="0.35">
      <c r="B188"/>
    </row>
    <row r="189" spans="2:2" ht="14.5" x14ac:dyDescent="0.35">
      <c r="B189"/>
    </row>
    <row r="190" spans="2:2" ht="14.5" x14ac:dyDescent="0.35">
      <c r="B190"/>
    </row>
    <row r="191" spans="2:2" ht="14.5" x14ac:dyDescent="0.35">
      <c r="B191"/>
    </row>
    <row r="192" spans="2:2" ht="14.5" x14ac:dyDescent="0.35">
      <c r="B192"/>
    </row>
    <row r="193" spans="2:2" ht="14.5" x14ac:dyDescent="0.35">
      <c r="B193"/>
    </row>
    <row r="194" spans="2:2" ht="14.5" x14ac:dyDescent="0.35">
      <c r="B194"/>
    </row>
    <row r="195" spans="2:2" ht="14.5" x14ac:dyDescent="0.35">
      <c r="B195"/>
    </row>
    <row r="196" spans="2:2" ht="14.5" x14ac:dyDescent="0.35">
      <c r="B196"/>
    </row>
    <row r="197" spans="2:2" ht="14.5" x14ac:dyDescent="0.35">
      <c r="B197"/>
    </row>
    <row r="198" spans="2:2" ht="14.5" x14ac:dyDescent="0.35">
      <c r="B198"/>
    </row>
    <row r="199" spans="2:2" ht="14.5" x14ac:dyDescent="0.35">
      <c r="B199"/>
    </row>
    <row r="200" spans="2:2" ht="14.5" x14ac:dyDescent="0.35">
      <c r="B200"/>
    </row>
    <row r="201" spans="2:2" ht="14.5" x14ac:dyDescent="0.35">
      <c r="B201"/>
    </row>
    <row r="202" spans="2:2" ht="14.5" x14ac:dyDescent="0.35">
      <c r="B202"/>
    </row>
    <row r="203" spans="2:2" ht="14.5" x14ac:dyDescent="0.35">
      <c r="B203"/>
    </row>
    <row r="204" spans="2:2" ht="14.5" x14ac:dyDescent="0.35">
      <c r="B204"/>
    </row>
    <row r="205" spans="2:2" ht="14.5" x14ac:dyDescent="0.35">
      <c r="B205"/>
    </row>
    <row r="206" spans="2:2" ht="14.5" x14ac:dyDescent="0.35">
      <c r="B206"/>
    </row>
    <row r="207" spans="2:2" ht="14.5" x14ac:dyDescent="0.35">
      <c r="B207"/>
    </row>
    <row r="208" spans="2:2" ht="14.5" x14ac:dyDescent="0.35">
      <c r="B208"/>
    </row>
    <row r="209" spans="2:2" ht="14.5" x14ac:dyDescent="0.35">
      <c r="B209"/>
    </row>
    <row r="210" spans="2:2" ht="14.5" x14ac:dyDescent="0.35">
      <c r="B210"/>
    </row>
    <row r="211" spans="2:2" ht="14.5" x14ac:dyDescent="0.35">
      <c r="B211"/>
    </row>
    <row r="212" spans="2:2" ht="14.5" x14ac:dyDescent="0.35">
      <c r="B212"/>
    </row>
    <row r="213" spans="2:2" ht="14.5" x14ac:dyDescent="0.35">
      <c r="B213"/>
    </row>
    <row r="214" spans="2:2" ht="14.5" x14ac:dyDescent="0.35">
      <c r="B214"/>
    </row>
    <row r="215" spans="2:2" ht="14.5" x14ac:dyDescent="0.35">
      <c r="B215"/>
    </row>
    <row r="216" spans="2:2" ht="14.5" x14ac:dyDescent="0.35">
      <c r="B216"/>
    </row>
  </sheetData>
  <autoFilter ref="B3:J108" xr:uid="{00000000-0001-0000-0700-000000000000}"/>
  <pageMargins left="0.7" right="0.7" top="0.75" bottom="0.75" header="0.3" footer="0.3"/>
  <ignoredErrors>
    <ignoredError sqref="B4:B108" numberStoredAsText="1"/>
  </ignoredErrors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9C970-A951-4B31-AC66-22D8CC8CD583}">
  <dimension ref="B1:H33"/>
  <sheetViews>
    <sheetView workbookViewId="0">
      <selection activeCell="B4" sqref="B4"/>
    </sheetView>
  </sheetViews>
  <sheetFormatPr defaultRowHeight="14.5" x14ac:dyDescent="0.35"/>
  <cols>
    <col min="1" max="1" width="3.6328125" style="1" customWidth="1"/>
    <col min="2" max="2" width="26.453125" style="1" customWidth="1"/>
    <col min="3" max="5" width="15.6328125" style="1" customWidth="1"/>
    <col min="6" max="6" width="3.6328125" style="1" customWidth="1"/>
    <col min="7" max="8" width="15.6328125" style="1" customWidth="1"/>
    <col min="9" max="16384" width="8.7265625" style="1"/>
  </cols>
  <sheetData>
    <row r="1" spans="2:8" ht="15.5" x14ac:dyDescent="0.35">
      <c r="B1" s="26" t="s">
        <v>243</v>
      </c>
    </row>
    <row r="2" spans="2:8" ht="15.5" x14ac:dyDescent="0.35">
      <c r="B2" s="27"/>
    </row>
    <row r="3" spans="2:8" ht="15" thickBot="1" x14ac:dyDescent="0.4">
      <c r="B3" s="29" t="s">
        <v>270</v>
      </c>
      <c r="C3" s="30" t="s">
        <v>227</v>
      </c>
      <c r="D3" s="30" t="s">
        <v>228</v>
      </c>
      <c r="E3" s="30" t="s">
        <v>229</v>
      </c>
      <c r="G3" s="30" t="s">
        <v>252</v>
      </c>
      <c r="H3" s="30" t="s">
        <v>253</v>
      </c>
    </row>
    <row r="4" spans="2:8" x14ac:dyDescent="0.35">
      <c r="B4" s="1" t="s">
        <v>230</v>
      </c>
      <c r="C4" s="51">
        <f>SUMIF('2.1 Database'!$I:$I,'2.2 P&amp;L statement'!$B4,'2.1 Database'!$F:$F)/100000</f>
        <v>145.00341</v>
      </c>
      <c r="D4" s="51">
        <f>SUMIF('2.1 Database'!$I:$I,'2.2 P&amp;L statement'!$B4,'2.1 Database'!$G:$G)/100000</f>
        <v>161.48295365000001</v>
      </c>
      <c r="E4" s="51">
        <f>SUMIF('2.1 Database'!$I:$I,'2.2 P&amp;L statement'!$B4,'2.1 Database'!$H:$H)/100000</f>
        <v>150.47803019</v>
      </c>
      <c r="G4" s="43">
        <f>+IF(ISERROR((D4/C4)-1),"n.a.",IF(((D4/C4)-1)&gt;1,"&gt;100.0%",IF(((D4/C4)-1)&lt;-1,"&lt;-100.0%",((D4/C4)-1))))</f>
        <v>0.11364935245315966</v>
      </c>
      <c r="H4" s="43">
        <f>+IF(ISERROR((E4/D4)-1),"n.a.",IF(((E4/D4)-1)&gt;1,"&gt;100.0%",IF(((E4/D4)-1)&lt;-1,"&lt;-100.0%",((E4/D4)-1))))</f>
        <v>-6.8149134080444207E-2</v>
      </c>
    </row>
    <row r="5" spans="2:8" x14ac:dyDescent="0.35">
      <c r="B5" s="1" t="s">
        <v>66</v>
      </c>
      <c r="C5" s="52">
        <f>SUMIF('2.1 Database'!$I:$I,'2.2 P&amp;L statement'!$B5,'2.1 Database'!$F:$F)/100000</f>
        <v>47.948561919999996</v>
      </c>
      <c r="D5" s="52">
        <f>SUMIF('2.1 Database'!$I:$I,'2.2 P&amp;L statement'!$B5,'2.1 Database'!$G:$G)/100000</f>
        <v>69.602176450000002</v>
      </c>
      <c r="E5" s="52">
        <f>SUMIF('2.1 Database'!$I:$I,'2.2 P&amp;L statement'!$B5,'2.1 Database'!$H:$H)/100000</f>
        <v>63.736175140000007</v>
      </c>
      <c r="G5" s="43">
        <f t="shared" ref="G5:G18" si="0">+IF(ISERROR((D5/C5)-1),"n.a.",IF(((D5/C5)-1)&gt;1,"&gt;100.0%",IF(((D5/C5)-1)&lt;-1,"&lt;-100.0%",((D5/C5)-1))))</f>
        <v>0.45160091696030591</v>
      </c>
      <c r="H5" s="43">
        <f t="shared" ref="H5:H18" si="1">+IF(ISERROR((E5/D5)-1),"n.a.",IF(((E5/D5)-1)&gt;1,"&gt;100.0%",IF(((E5/D5)-1)&lt;-1,"&lt;-100.0%",((E5/D5)-1))))</f>
        <v>-8.4278992542911935E-2</v>
      </c>
    </row>
    <row r="6" spans="2:8" x14ac:dyDescent="0.35">
      <c r="B6" s="1" t="s">
        <v>233</v>
      </c>
      <c r="C6" s="52">
        <f>SUMIF('2.1 Database'!$I:$I,'2.2 P&amp;L statement'!$B6,'2.1 Database'!$F:$F)/100000</f>
        <v>32.200542519999999</v>
      </c>
      <c r="D6" s="52">
        <f>SUMIF('2.1 Database'!$I:$I,'2.2 P&amp;L statement'!$B6,'2.1 Database'!$G:$G)/100000</f>
        <v>29.240919950000002</v>
      </c>
      <c r="E6" s="52">
        <f>SUMIF('2.1 Database'!$I:$I,'2.2 P&amp;L statement'!$B6,'2.1 Database'!$H:$H)/100000</f>
        <v>48.931777299999993</v>
      </c>
      <c r="G6" s="43">
        <f t="shared" si="0"/>
        <v>-9.1912195832158816E-2</v>
      </c>
      <c r="H6" s="43">
        <f t="shared" si="1"/>
        <v>0.67340074743441813</v>
      </c>
    </row>
    <row r="7" spans="2:8" x14ac:dyDescent="0.35">
      <c r="B7" s="28" t="s">
        <v>244</v>
      </c>
      <c r="C7" s="53">
        <f>SUM(C4:C6)</f>
        <v>225.15251444</v>
      </c>
      <c r="D7" s="53">
        <f>SUM(D4:D6)</f>
        <v>260.32605004999999</v>
      </c>
      <c r="E7" s="53">
        <f>SUM(E4:E6)</f>
        <v>263.14598262999999</v>
      </c>
      <c r="G7" s="44">
        <f t="shared" si="0"/>
        <v>0.15622093183140207</v>
      </c>
      <c r="H7" s="44">
        <f t="shared" si="1"/>
        <v>1.0832310402506318E-2</v>
      </c>
    </row>
    <row r="8" spans="2:8" x14ac:dyDescent="0.35">
      <c r="B8" s="1" t="s">
        <v>100</v>
      </c>
      <c r="C8" s="52">
        <f>SUMIF('2.1 Database'!$I:$I,'2.2 P&amp;L statement'!$B8,'2.1 Database'!$F:$F)/100000</f>
        <v>-44.289117640000008</v>
      </c>
      <c r="D8" s="52">
        <f>SUMIF('2.1 Database'!$I:$I,'2.2 P&amp;L statement'!$B8,'2.1 Database'!$G:$G)/100000</f>
        <v>-54.631888250000003</v>
      </c>
      <c r="E8" s="52">
        <f>SUMIF('2.1 Database'!$I:$I,'2.2 P&amp;L statement'!$B8,'2.1 Database'!$H:$H)/100000</f>
        <v>-56.74152067</v>
      </c>
      <c r="G8" s="43">
        <f t="shared" si="0"/>
        <v>0.23352848647991253</v>
      </c>
      <c r="H8" s="43">
        <f t="shared" si="1"/>
        <v>3.861540370609462E-2</v>
      </c>
    </row>
    <row r="9" spans="2:8" x14ac:dyDescent="0.35">
      <c r="B9" s="28" t="s">
        <v>245</v>
      </c>
      <c r="C9" s="53">
        <f>SUM(C7:C8)</f>
        <v>180.8633968</v>
      </c>
      <c r="D9" s="53">
        <f>SUM(D7:D8)</f>
        <v>205.69416179999999</v>
      </c>
      <c r="E9" s="53">
        <f>SUM(E7:E8)</f>
        <v>206.40446195999999</v>
      </c>
      <c r="G9" s="44">
        <f t="shared" si="0"/>
        <v>0.13729016174266606</v>
      </c>
      <c r="H9" s="44">
        <f t="shared" si="1"/>
        <v>3.4531858064628107E-3</v>
      </c>
    </row>
    <row r="10" spans="2:8" x14ac:dyDescent="0.35">
      <c r="B10" s="1" t="s">
        <v>231</v>
      </c>
      <c r="C10" s="52">
        <f>SUMIF('2.1 Database'!$I:$I,'2.2 P&amp;L statement'!$B10,'2.1 Database'!$F:$F)/100000</f>
        <v>-33.966489799999998</v>
      </c>
      <c r="D10" s="52">
        <f>SUMIF('2.1 Database'!$I:$I,'2.2 P&amp;L statement'!$B10,'2.1 Database'!$G:$G)/100000</f>
        <v>-38.622382399999999</v>
      </c>
      <c r="E10" s="52">
        <f>SUMIF('2.1 Database'!$I:$I,'2.2 P&amp;L statement'!$B10,'2.1 Database'!$H:$H)/100000</f>
        <v>-66.874830379999992</v>
      </c>
      <c r="G10" s="43">
        <f t="shared" si="0"/>
        <v>0.13707311610397843</v>
      </c>
      <c r="H10" s="43">
        <f t="shared" si="1"/>
        <v>0.73150453763825807</v>
      </c>
    </row>
    <row r="11" spans="2:8" x14ac:dyDescent="0.35">
      <c r="B11" s="1" t="s">
        <v>232</v>
      </c>
      <c r="C11" s="52">
        <f>SUMIF('2.1 Database'!$I:$I,'2.2 P&amp;L statement'!$B11,'2.1 Database'!$F:$F)/100000</f>
        <v>-61.707390400000001</v>
      </c>
      <c r="D11" s="52">
        <f>SUMIF('2.1 Database'!$I:$I,'2.2 P&amp;L statement'!$B11,'2.1 Database'!$G:$G)/100000</f>
        <v>-80.718589449999996</v>
      </c>
      <c r="E11" s="52">
        <f>SUMIF('2.1 Database'!$I:$I,'2.2 P&amp;L statement'!$B11,'2.1 Database'!$H:$H)/100000</f>
        <v>-58.358881759999989</v>
      </c>
      <c r="G11" s="43">
        <f t="shared" si="0"/>
        <v>0.30808625882192531</v>
      </c>
      <c r="H11" s="43">
        <f t="shared" si="1"/>
        <v>-0.27700815688622027</v>
      </c>
    </row>
    <row r="12" spans="2:8" x14ac:dyDescent="0.35">
      <c r="B12" s="1" t="s">
        <v>234</v>
      </c>
      <c r="C12" s="52">
        <f>SUMIF('2.1 Database'!$I:$I,'2.2 P&amp;L statement'!$B12,'2.1 Database'!$F:$F)/100000</f>
        <v>-11.27445872</v>
      </c>
      <c r="D12" s="52">
        <f>SUMIF('2.1 Database'!$I:$I,'2.2 P&amp;L statement'!$B12,'2.1 Database'!$G:$G)/100000</f>
        <v>-10.553814750000001</v>
      </c>
      <c r="E12" s="52">
        <f>SUMIF('2.1 Database'!$I:$I,'2.2 P&amp;L statement'!$B12,'2.1 Database'!$H:$H)/100000</f>
        <v>15.960534490000001</v>
      </c>
      <c r="G12" s="43">
        <f t="shared" si="0"/>
        <v>-6.3918276513056371E-2</v>
      </c>
      <c r="H12" s="43" t="str">
        <f t="shared" si="1"/>
        <v>&lt;-100.0%</v>
      </c>
    </row>
    <row r="13" spans="2:8" x14ac:dyDescent="0.35">
      <c r="B13" s="1" t="s">
        <v>235</v>
      </c>
      <c r="C13" s="52">
        <f>SUMIF('2.1 Database'!$I:$I,'2.2 P&amp;L statement'!$B13,'2.1 Database'!$F:$F)/100000</f>
        <v>-25.430882079999996</v>
      </c>
      <c r="D13" s="52">
        <f>SUMIF('2.1 Database'!$I:$I,'2.2 P&amp;L statement'!$B13,'2.1 Database'!$G:$G)/100000</f>
        <v>-18.37786345</v>
      </c>
      <c r="E13" s="52">
        <f>SUMIF('2.1 Database'!$I:$I,'2.2 P&amp;L statement'!$B13,'2.1 Database'!$H:$H)/100000</f>
        <v>-19.549839309999999</v>
      </c>
      <c r="G13" s="43">
        <f t="shared" si="0"/>
        <v>-0.27734069969782182</v>
      </c>
      <c r="H13" s="43">
        <f t="shared" si="1"/>
        <v>6.3771061483210545E-2</v>
      </c>
    </row>
    <row r="14" spans="2:8" x14ac:dyDescent="0.35">
      <c r="B14" s="1" t="s">
        <v>236</v>
      </c>
      <c r="C14" s="52">
        <f>SUMIF('2.1 Database'!$I:$I,'2.2 P&amp;L statement'!$B14,'2.1 Database'!$F:$F)/100000</f>
        <v>-18.135250039999999</v>
      </c>
      <c r="D14" s="52">
        <f>SUMIF('2.1 Database'!$I:$I,'2.2 P&amp;L statement'!$B14,'2.1 Database'!$G:$G)/100000</f>
        <v>-24.171879899999997</v>
      </c>
      <c r="E14" s="52">
        <f>SUMIF('2.1 Database'!$I:$I,'2.2 P&amp;L statement'!$B14,'2.1 Database'!$H:$H)/100000</f>
        <v>-25.144318869999996</v>
      </c>
      <c r="G14" s="43">
        <f t="shared" si="0"/>
        <v>0.3328671976777442</v>
      </c>
      <c r="H14" s="43">
        <f t="shared" si="1"/>
        <v>4.0230175477580454E-2</v>
      </c>
    </row>
    <row r="15" spans="2:8" x14ac:dyDescent="0.35">
      <c r="B15" s="1" t="s">
        <v>74</v>
      </c>
      <c r="C15" s="52">
        <f>SUMIF('2.1 Database'!$I:$I,'2.2 P&amp;L statement'!$B15,'2.1 Database'!$F:$F)/100000</f>
        <v>5.7221999999999991E-4</v>
      </c>
      <c r="D15" s="52">
        <f>SUMIF('2.1 Database'!$I:$I,'2.2 P&amp;L statement'!$B15,'2.1 Database'!$G:$G)/100000</f>
        <v>-7.3574899999999999E-2</v>
      </c>
      <c r="E15" s="52">
        <f>SUMIF('2.1 Database'!$I:$I,'2.2 P&amp;L statement'!$B15,'2.1 Database'!$H:$H)/100000</f>
        <v>0.4678542799999999</v>
      </c>
      <c r="G15" s="43" t="str">
        <f t="shared" si="0"/>
        <v>&lt;-100.0%</v>
      </c>
      <c r="H15" s="43" t="str">
        <f t="shared" si="1"/>
        <v>&lt;-100.0%</v>
      </c>
    </row>
    <row r="16" spans="2:8" x14ac:dyDescent="0.35">
      <c r="B16" s="1" t="s">
        <v>67</v>
      </c>
      <c r="C16" s="52">
        <f>SUMIF('2.1 Database'!$I:$I,'2.2 P&amp;L statement'!$B16,'2.1 Database'!$F:$F)/100000</f>
        <v>52.683321979999995</v>
      </c>
      <c r="D16" s="52">
        <f>SUMIF('2.1 Database'!$I:$I,'2.2 P&amp;L statement'!$B16,'2.1 Database'!$G:$G)/100000</f>
        <v>7.4482694999999994</v>
      </c>
      <c r="E16" s="52">
        <f>SUMIF('2.1 Database'!$I:$I,'2.2 P&amp;L statement'!$B16,'2.1 Database'!$H:$H)/100000</f>
        <v>0</v>
      </c>
      <c r="G16" s="43">
        <f t="shared" si="0"/>
        <v>-0.85862187082986985</v>
      </c>
      <c r="H16" s="43">
        <f t="shared" si="1"/>
        <v>-1</v>
      </c>
    </row>
    <row r="17" spans="2:8" x14ac:dyDescent="0.35">
      <c r="B17" s="31" t="s">
        <v>246</v>
      </c>
      <c r="C17" s="54">
        <f>SUM(C9:C16)</f>
        <v>83.032819959999983</v>
      </c>
      <c r="D17" s="54">
        <f>SUM(D9:D16)</f>
        <v>40.624326450000005</v>
      </c>
      <c r="E17" s="54">
        <f>SUM(E9:E16)</f>
        <v>52.904980410000022</v>
      </c>
      <c r="G17" s="45">
        <f t="shared" si="0"/>
        <v>-0.51074374603234884</v>
      </c>
      <c r="H17" s="45">
        <f t="shared" si="1"/>
        <v>0.30229803256221155</v>
      </c>
    </row>
    <row r="18" spans="2:8" x14ac:dyDescent="0.35">
      <c r="B18" s="1" t="s">
        <v>72</v>
      </c>
      <c r="C18" s="52">
        <f>SUMIF('2.1 Database'!$I:$I,'2.2 P&amp;L statement'!$B18,'2.1 Database'!$F:$F)/100000</f>
        <v>-0.41981296000000001</v>
      </c>
      <c r="D18" s="52">
        <f>SUMIF('2.1 Database'!$I:$I,'2.2 P&amp;L statement'!$B18,'2.1 Database'!$G:$G)/100000</f>
        <v>-1.4632894499999998</v>
      </c>
      <c r="E18" s="52">
        <f>SUMIF('2.1 Database'!$I:$I,'2.2 P&amp;L statement'!$B18,'2.1 Database'!$H:$H)/100000</f>
        <v>-0.12593355000000001</v>
      </c>
      <c r="G18" s="43" t="str">
        <f t="shared" si="0"/>
        <v>&gt;100.0%</v>
      </c>
      <c r="H18" s="43">
        <f t="shared" si="1"/>
        <v>-0.91393804554526104</v>
      </c>
    </row>
    <row r="19" spans="2:8" x14ac:dyDescent="0.35">
      <c r="B19" s="28" t="s">
        <v>247</v>
      </c>
      <c r="C19" s="53">
        <f>SUM(C17:C18)</f>
        <v>82.613006999999982</v>
      </c>
      <c r="D19" s="53">
        <f t="shared" ref="D19:E19" si="2">SUM(D17:D18)</f>
        <v>39.161037000000007</v>
      </c>
      <c r="E19" s="53">
        <f t="shared" si="2"/>
        <v>52.779046860000022</v>
      </c>
      <c r="G19" s="44">
        <f>+IF(ISERROR((D19/C19)-1),"n.a.",IF(((D19/C19)-1)&gt;1,"&gt;100.0%",IF(((D19/C19)-1)&lt;-1,"&lt;-100.0%",((D19/C19)-1))))</f>
        <v>-0.52597008120040933</v>
      </c>
      <c r="H19" s="44">
        <f>+IF(ISERROR((E19/D19)-1),"n.a.",IF(((E19/D19)-1)&gt;1,"&gt;100.0%",IF(((E19/D19)-1)&lt;-1,"&lt;-100.0%",((E19/D19)-1))))</f>
        <v>0.34774385213547876</v>
      </c>
    </row>
    <row r="20" spans="2:8" x14ac:dyDescent="0.35">
      <c r="B20" s="1" t="s">
        <v>238</v>
      </c>
      <c r="C20" s="52">
        <f>SUMIF('2.1 Database'!$I:$I,'2.2 P&amp;L statement'!$B20,'2.1 Database'!$F:$F)/100000</f>
        <v>-28.42692366</v>
      </c>
      <c r="D20" s="52">
        <f>SUMIF('2.1 Database'!$I:$I,'2.2 P&amp;L statement'!$B20,'2.1 Database'!$G:$G)/100000</f>
        <v>-27.107469200000001</v>
      </c>
      <c r="E20" s="52">
        <f>SUMIF('2.1 Database'!$I:$I,'2.2 P&amp;L statement'!$B20,'2.1 Database'!$H:$H)/100000</f>
        <v>-22.507078289999999</v>
      </c>
      <c r="G20" s="43">
        <f t="shared" ref="G20:G24" si="3">+IF(ISERROR((D20/C20)-1),"n.a.",IF(((D20/C20)-1)&gt;1,"&gt;100.0%",IF(((D20/C20)-1)&lt;-1,"&lt;-100.0%",((D20/C20)-1))))</f>
        <v>-4.6415661285805099E-2</v>
      </c>
      <c r="H20" s="43">
        <f t="shared" ref="H20:H24" si="4">+IF(ISERROR((E20/D20)-1),"n.a.",IF(((E20/D20)-1)&gt;1,"&gt;100.0%",IF(((E20/D20)-1)&lt;-1,"&lt;-100.0%",((E20/D20)-1))))</f>
        <v>-0.1697093474886251</v>
      </c>
    </row>
    <row r="21" spans="2:8" x14ac:dyDescent="0.35">
      <c r="B21" s="1" t="s">
        <v>239</v>
      </c>
      <c r="C21" s="52">
        <f>SUMIF('2.1 Database'!$I:$I,'2.2 P&amp;L statement'!$B21,'2.1 Database'!$F:$F)/100000</f>
        <v>-0.22763</v>
      </c>
      <c r="D21" s="52">
        <f>SUMIF('2.1 Database'!$I:$I,'2.2 P&amp;L statement'!$B21,'2.1 Database'!$G:$G)/100000</f>
        <v>-43.972961050000002</v>
      </c>
      <c r="E21" s="52">
        <f>SUMIF('2.1 Database'!$I:$I,'2.2 P&amp;L statement'!$B21,'2.1 Database'!$H:$H)/100000</f>
        <v>-7.1731959999999984E-2</v>
      </c>
      <c r="G21" s="43" t="str">
        <f t="shared" si="3"/>
        <v>&gt;100.0%</v>
      </c>
      <c r="H21" s="43">
        <f t="shared" si="4"/>
        <v>-0.99836872572855773</v>
      </c>
    </row>
    <row r="22" spans="2:8" x14ac:dyDescent="0.35">
      <c r="B22" s="28" t="s">
        <v>248</v>
      </c>
      <c r="C22" s="53">
        <f>SUM(C19:C21)</f>
        <v>53.958453339999984</v>
      </c>
      <c r="D22" s="53">
        <f t="shared" ref="D22:E22" si="5">SUM(D19:D21)</f>
        <v>-31.919393249999995</v>
      </c>
      <c r="E22" s="53">
        <f t="shared" si="5"/>
        <v>30.200236610000022</v>
      </c>
      <c r="G22" s="44" t="str">
        <f t="shared" si="3"/>
        <v>&lt;-100.0%</v>
      </c>
      <c r="H22" s="44" t="str">
        <f t="shared" si="4"/>
        <v>&lt;-100.0%</v>
      </c>
    </row>
    <row r="23" spans="2:8" x14ac:dyDescent="0.35">
      <c r="B23" s="1" t="s">
        <v>240</v>
      </c>
      <c r="C23" s="52">
        <f>SUMIF('2.1 Database'!$I:$I,'2.2 P&amp;L statement'!$B23,'2.1 Database'!$F:$F)/100000</f>
        <v>-4.8846512199999994</v>
      </c>
      <c r="D23" s="52">
        <f>SUMIF('2.1 Database'!$I:$I,'2.2 P&amp;L statement'!$B23,'2.1 Database'!$G:$G)/100000</f>
        <v>-9.8419196500000012</v>
      </c>
      <c r="E23" s="52">
        <f>SUMIF('2.1 Database'!$I:$I,'2.2 P&amp;L statement'!$B23,'2.1 Database'!$H:$H)/100000</f>
        <v>-3.6496502599999996</v>
      </c>
      <c r="G23" s="43" t="str">
        <f t="shared" si="3"/>
        <v>&gt;100.0%</v>
      </c>
      <c r="H23" s="43">
        <f t="shared" si="4"/>
        <v>-0.62917292664546398</v>
      </c>
    </row>
    <row r="24" spans="2:8" ht="15" thickBot="1" x14ac:dyDescent="0.4">
      <c r="B24" s="32" t="s">
        <v>241</v>
      </c>
      <c r="C24" s="55">
        <f>SUM(C22:C23)</f>
        <v>49.073802119999982</v>
      </c>
      <c r="D24" s="55">
        <f t="shared" ref="D24:E24" si="6">SUM(D22:D23)</f>
        <v>-41.761312899999993</v>
      </c>
      <c r="E24" s="55">
        <f t="shared" si="6"/>
        <v>26.550586350000025</v>
      </c>
      <c r="G24" s="46" t="str">
        <f t="shared" si="3"/>
        <v>&lt;-100.0%</v>
      </c>
      <c r="H24" s="46" t="str">
        <f t="shared" si="4"/>
        <v>&lt;-100.0%</v>
      </c>
    </row>
    <row r="27" spans="2:8" x14ac:dyDescent="0.35">
      <c r="B27" s="42" t="s">
        <v>241</v>
      </c>
      <c r="C27" s="56">
        <f>SUMIF('2.1 Database'!$I:$I,'2.2 P&amp;L statement'!$B27,'2.1 Database'!$F:$F)/100000</f>
        <v>-29.041179939999985</v>
      </c>
      <c r="D27" s="56">
        <f>SUMIF('2.1 Database'!$I:$I,'2.2 P&amp;L statement'!$B27,'2.1 Database'!$G:$G)/100000</f>
        <v>60.738081600000001</v>
      </c>
      <c r="E27" s="56">
        <f>SUMIF('2.1 Database'!$I:$I,'2.2 P&amp;L statement'!$B27,'2.1 Database'!$H:$H)/100000</f>
        <v>-7.7929047599999999</v>
      </c>
    </row>
    <row r="28" spans="2:8" x14ac:dyDescent="0.35">
      <c r="B28" s="47" t="s">
        <v>250</v>
      </c>
      <c r="C28" s="57">
        <f>ROUND(C27+C24,9)</f>
        <v>20.032622180000001</v>
      </c>
      <c r="D28" s="57">
        <f>ROUND(D27+D24,9)</f>
        <v>18.976768700000001</v>
      </c>
      <c r="E28" s="57">
        <f>ROUND(E27+E24,9)</f>
        <v>18.757681590000001</v>
      </c>
    </row>
    <row r="30" spans="2:8" x14ac:dyDescent="0.35">
      <c r="B30" s="50" t="s">
        <v>257</v>
      </c>
      <c r="C30" s="48"/>
      <c r="D30" s="48"/>
      <c r="E30" s="48"/>
    </row>
    <row r="31" spans="2:8" x14ac:dyDescent="0.35">
      <c r="B31" s="48" t="s">
        <v>254</v>
      </c>
      <c r="C31" s="49">
        <f>C9/C$7</f>
        <v>0.80329281353949777</v>
      </c>
      <c r="D31" s="49">
        <f t="shared" ref="D31:E31" si="7">D9/D$7</f>
        <v>0.79014052477841912</v>
      </c>
      <c r="E31" s="49">
        <f t="shared" si="7"/>
        <v>0.78437246085651935</v>
      </c>
    </row>
    <row r="32" spans="2:8" x14ac:dyDescent="0.35">
      <c r="B32" s="48" t="s">
        <v>255</v>
      </c>
      <c r="C32" s="49">
        <f>C17/C$7</f>
        <v>0.36878477758296174</v>
      </c>
      <c r="D32" s="49">
        <f t="shared" ref="D32:E32" si="8">D17/D$7</f>
        <v>0.15605171454104352</v>
      </c>
      <c r="E32" s="49">
        <f t="shared" si="8"/>
        <v>0.20104802619916032</v>
      </c>
    </row>
    <row r="33" spans="2:5" x14ac:dyDescent="0.35">
      <c r="B33" s="48" t="s">
        <v>256</v>
      </c>
      <c r="C33" s="49">
        <f>C19/C$7</f>
        <v>0.36692020608997106</v>
      </c>
      <c r="D33" s="49">
        <f t="shared" ref="D33:E33" si="9">D19/D$7</f>
        <v>0.15043072713037545</v>
      </c>
      <c r="E33" s="49">
        <f t="shared" si="9"/>
        <v>0.20056945704624615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C49"/>
  <sheetViews>
    <sheetView workbookViewId="0">
      <selection activeCell="B4" sqref="B4"/>
    </sheetView>
  </sheetViews>
  <sheetFormatPr defaultRowHeight="14.5" x14ac:dyDescent="0.35"/>
  <cols>
    <col min="1" max="1" width="3.36328125" style="1" customWidth="1"/>
    <col min="2" max="2" width="35.26953125" style="1" customWidth="1"/>
    <col min="3" max="3" width="30.90625" style="1" customWidth="1"/>
    <col min="4" max="16384" width="8.7265625" style="1"/>
  </cols>
  <sheetData>
    <row r="1" spans="2:3" ht="15.5" x14ac:dyDescent="0.35">
      <c r="B1" s="26" t="s">
        <v>242</v>
      </c>
    </row>
    <row r="3" spans="2:3" ht="15" thickBot="1" x14ac:dyDescent="0.4">
      <c r="B3" s="38" t="s">
        <v>117</v>
      </c>
      <c r="C3" s="38" t="s">
        <v>242</v>
      </c>
    </row>
    <row r="4" spans="2:3" x14ac:dyDescent="0.35">
      <c r="B4" s="1" t="s">
        <v>65</v>
      </c>
      <c r="C4" s="1" t="s">
        <v>230</v>
      </c>
    </row>
    <row r="5" spans="2:3" x14ac:dyDescent="0.35">
      <c r="B5" s="1" t="s">
        <v>66</v>
      </c>
      <c r="C5" s="1" t="s">
        <v>66</v>
      </c>
    </row>
    <row r="6" spans="2:3" x14ac:dyDescent="0.35">
      <c r="B6" s="1" t="s">
        <v>67</v>
      </c>
      <c r="C6" s="1" t="s">
        <v>67</v>
      </c>
    </row>
    <row r="7" spans="2:3" x14ac:dyDescent="0.35">
      <c r="B7" s="1" t="s">
        <v>100</v>
      </c>
      <c r="C7" s="1" t="s">
        <v>100</v>
      </c>
    </row>
    <row r="8" spans="2:3" x14ac:dyDescent="0.35">
      <c r="B8" s="1" t="s">
        <v>69</v>
      </c>
      <c r="C8" s="1" t="s">
        <v>231</v>
      </c>
    </row>
    <row r="9" spans="2:3" x14ac:dyDescent="0.35">
      <c r="B9" s="1" t="s">
        <v>68</v>
      </c>
      <c r="C9" s="1" t="s">
        <v>231</v>
      </c>
    </row>
    <row r="10" spans="2:3" x14ac:dyDescent="0.35">
      <c r="B10" s="1" t="s">
        <v>2</v>
      </c>
      <c r="C10" s="1" t="s">
        <v>232</v>
      </c>
    </row>
    <row r="11" spans="2:3" x14ac:dyDescent="0.35">
      <c r="B11" s="1" t="s">
        <v>70</v>
      </c>
      <c r="C11" s="1" t="s">
        <v>232</v>
      </c>
    </row>
    <row r="12" spans="2:3" x14ac:dyDescent="0.35">
      <c r="B12" s="1" t="s">
        <v>71</v>
      </c>
      <c r="C12" s="1" t="s">
        <v>232</v>
      </c>
    </row>
    <row r="13" spans="2:3" x14ac:dyDescent="0.35">
      <c r="B13" s="1" t="s">
        <v>72</v>
      </c>
      <c r="C13" s="1" t="s">
        <v>72</v>
      </c>
    </row>
    <row r="14" spans="2:3" x14ac:dyDescent="0.35">
      <c r="B14" s="1" t="s">
        <v>73</v>
      </c>
      <c r="C14" s="1" t="s">
        <v>233</v>
      </c>
    </row>
    <row r="15" spans="2:3" x14ac:dyDescent="0.35">
      <c r="B15" s="1" t="s">
        <v>74</v>
      </c>
      <c r="C15" s="1" t="s">
        <v>74</v>
      </c>
    </row>
    <row r="16" spans="2:3" x14ac:dyDescent="0.35">
      <c r="B16" s="1" t="s">
        <v>75</v>
      </c>
      <c r="C16" s="1" t="s">
        <v>231</v>
      </c>
    </row>
    <row r="17" spans="2:3" x14ac:dyDescent="0.35">
      <c r="B17" s="1" t="s">
        <v>76</v>
      </c>
      <c r="C17" s="1" t="s">
        <v>231</v>
      </c>
    </row>
    <row r="18" spans="2:3" x14ac:dyDescent="0.35">
      <c r="B18" s="1" t="s">
        <v>77</v>
      </c>
      <c r="C18" s="1" t="s">
        <v>234</v>
      </c>
    </row>
    <row r="19" spans="2:3" x14ac:dyDescent="0.35">
      <c r="B19" s="1" t="s">
        <v>78</v>
      </c>
      <c r="C19" s="1" t="s">
        <v>235</v>
      </c>
    </row>
    <row r="20" spans="2:3" x14ac:dyDescent="0.35">
      <c r="B20" s="1" t="s">
        <v>7</v>
      </c>
      <c r="C20" s="1" t="s">
        <v>231</v>
      </c>
    </row>
    <row r="21" spans="2:3" x14ac:dyDescent="0.35">
      <c r="B21" s="1" t="s">
        <v>79</v>
      </c>
      <c r="C21" s="1" t="s">
        <v>231</v>
      </c>
    </row>
    <row r="22" spans="2:3" x14ac:dyDescent="0.35">
      <c r="B22" s="1" t="s">
        <v>8</v>
      </c>
      <c r="C22" s="1" t="s">
        <v>236</v>
      </c>
    </row>
    <row r="23" spans="2:3" x14ac:dyDescent="0.35">
      <c r="B23" s="1" t="s">
        <v>80</v>
      </c>
      <c r="C23" s="1" t="s">
        <v>231</v>
      </c>
    </row>
    <row r="24" spans="2:3" x14ac:dyDescent="0.35">
      <c r="B24" s="1" t="s">
        <v>81</v>
      </c>
      <c r="C24" s="1" t="s">
        <v>231</v>
      </c>
    </row>
    <row r="25" spans="2:3" x14ac:dyDescent="0.35">
      <c r="B25" s="1" t="s">
        <v>82</v>
      </c>
      <c r="C25" s="1" t="s">
        <v>231</v>
      </c>
    </row>
    <row r="26" spans="2:3" x14ac:dyDescent="0.35">
      <c r="B26" s="1" t="s">
        <v>83</v>
      </c>
      <c r="C26" s="1" t="s">
        <v>231</v>
      </c>
    </row>
    <row r="27" spans="2:3" x14ac:dyDescent="0.35">
      <c r="B27" s="1" t="s">
        <v>84</v>
      </c>
      <c r="C27" s="1" t="s">
        <v>231</v>
      </c>
    </row>
    <row r="28" spans="2:3" x14ac:dyDescent="0.35">
      <c r="B28" s="1" t="s">
        <v>85</v>
      </c>
      <c r="C28" s="1" t="s">
        <v>237</v>
      </c>
    </row>
    <row r="29" spans="2:3" x14ac:dyDescent="0.35">
      <c r="B29" s="1" t="s">
        <v>86</v>
      </c>
      <c r="C29" s="1" t="s">
        <v>238</v>
      </c>
    </row>
    <row r="30" spans="2:3" x14ac:dyDescent="0.35">
      <c r="B30" s="1" t="s">
        <v>9</v>
      </c>
      <c r="C30" s="1" t="s">
        <v>67</v>
      </c>
    </row>
    <row r="31" spans="2:3" x14ac:dyDescent="0.35">
      <c r="B31" s="1" t="s">
        <v>87</v>
      </c>
      <c r="C31" s="1" t="s">
        <v>239</v>
      </c>
    </row>
    <row r="32" spans="2:3" x14ac:dyDescent="0.35">
      <c r="B32" s="1" t="s">
        <v>88</v>
      </c>
      <c r="C32" s="1" t="s">
        <v>238</v>
      </c>
    </row>
    <row r="33" spans="2:3" x14ac:dyDescent="0.35">
      <c r="B33" s="1" t="s">
        <v>89</v>
      </c>
      <c r="C33" s="1" t="s">
        <v>240</v>
      </c>
    </row>
    <row r="34" spans="2:3" x14ac:dyDescent="0.35">
      <c r="B34" s="1" t="s">
        <v>90</v>
      </c>
      <c r="C34" s="1" t="s">
        <v>240</v>
      </c>
    </row>
    <row r="35" spans="2:3" x14ac:dyDescent="0.35">
      <c r="B35" s="1" t="s">
        <v>91</v>
      </c>
      <c r="C35" s="1" t="s">
        <v>240</v>
      </c>
    </row>
    <row r="36" spans="2:3" x14ac:dyDescent="0.35">
      <c r="B36" s="1" t="s">
        <v>64</v>
      </c>
      <c r="C36" s="1" t="s">
        <v>241</v>
      </c>
    </row>
    <row r="37" spans="2:3" x14ac:dyDescent="0.35">
      <c r="B37" s="1" t="s">
        <v>101</v>
      </c>
      <c r="C37" s="1" t="s">
        <v>231</v>
      </c>
    </row>
    <row r="38" spans="2:3" x14ac:dyDescent="0.35">
      <c r="B38" s="1" t="s">
        <v>14</v>
      </c>
      <c r="C38" s="1" t="s">
        <v>232</v>
      </c>
    </row>
    <row r="39" spans="2:3" x14ac:dyDescent="0.35">
      <c r="B39" s="1" t="s">
        <v>15</v>
      </c>
      <c r="C39" s="1" t="s">
        <v>239</v>
      </c>
    </row>
    <row r="40" spans="2:3" x14ac:dyDescent="0.35">
      <c r="B40" s="1" t="s">
        <v>18</v>
      </c>
      <c r="C40" s="1" t="s">
        <v>231</v>
      </c>
    </row>
    <row r="41" spans="2:3" x14ac:dyDescent="0.35">
      <c r="B41" s="1" t="s">
        <v>20</v>
      </c>
      <c r="C41" s="1" t="s">
        <v>239</v>
      </c>
    </row>
    <row r="42" spans="2:3" x14ac:dyDescent="0.35">
      <c r="B42" s="1" t="s">
        <v>21</v>
      </c>
      <c r="C42" s="1" t="s">
        <v>231</v>
      </c>
    </row>
    <row r="43" spans="2:3" x14ac:dyDescent="0.35">
      <c r="B43" s="1" t="s">
        <v>22</v>
      </c>
      <c r="C43" s="1" t="s">
        <v>231</v>
      </c>
    </row>
    <row r="44" spans="2:3" x14ac:dyDescent="0.35">
      <c r="B44" s="1" t="s">
        <v>102</v>
      </c>
      <c r="C44" s="1" t="s">
        <v>239</v>
      </c>
    </row>
    <row r="45" spans="2:3" x14ac:dyDescent="0.35">
      <c r="B45" s="1" t="s">
        <v>23</v>
      </c>
      <c r="C45" s="1" t="s">
        <v>237</v>
      </c>
    </row>
    <row r="46" spans="2:3" x14ac:dyDescent="0.35">
      <c r="B46" s="1" t="s">
        <v>24</v>
      </c>
      <c r="C46" s="1" t="s">
        <v>231</v>
      </c>
    </row>
    <row r="47" spans="2:3" x14ac:dyDescent="0.35">
      <c r="B47" s="1" t="s">
        <v>26</v>
      </c>
      <c r="C47" s="1" t="s">
        <v>231</v>
      </c>
    </row>
    <row r="48" spans="2:3" x14ac:dyDescent="0.35">
      <c r="B48" s="1" t="s">
        <v>27</v>
      </c>
      <c r="C48" s="1" t="s">
        <v>231</v>
      </c>
    </row>
    <row r="49" spans="2:3" x14ac:dyDescent="0.35">
      <c r="B49" s="1" t="s">
        <v>28</v>
      </c>
      <c r="C49" s="1" t="s">
        <v>237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5" x14ac:dyDescent="0.3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B1:E7"/>
  <sheetViews>
    <sheetView workbookViewId="0">
      <selection activeCell="B4" sqref="B4"/>
    </sheetView>
  </sheetViews>
  <sheetFormatPr defaultColWidth="15.6328125" defaultRowHeight="14.5" x14ac:dyDescent="0.35"/>
  <cols>
    <col min="1" max="1" width="2.6328125" style="1" customWidth="1"/>
    <col min="2" max="16384" width="15.6328125" style="1"/>
  </cols>
  <sheetData>
    <row r="1" spans="2:5" ht="15.5" x14ac:dyDescent="0.35">
      <c r="B1" s="3" t="s">
        <v>259</v>
      </c>
    </row>
    <row r="3" spans="2:5" ht="15" thickBot="1" x14ac:dyDescent="0.4">
      <c r="B3" s="30"/>
      <c r="C3" s="30" t="s">
        <v>227</v>
      </c>
      <c r="D3" s="30" t="s">
        <v>228</v>
      </c>
      <c r="E3" s="30" t="s">
        <v>229</v>
      </c>
    </row>
    <row r="4" spans="2:5" x14ac:dyDescent="0.35">
      <c r="B4" s="60" t="s">
        <v>230</v>
      </c>
      <c r="C4" s="51">
        <f>SUMIF('2.1 Database'!$I:$I,'2.2 P&amp;L statement'!$B4,'2.1 Database'!$F:$F)/100000</f>
        <v>145.00341</v>
      </c>
      <c r="D4" s="51">
        <f>SUMIF('2.1 Database'!$I:$I,'2.2 P&amp;L statement'!$B4,'2.1 Database'!$G:$G)/100000</f>
        <v>161.48295365000001</v>
      </c>
      <c r="E4" s="51">
        <f>SUMIF('2.1 Database'!$I:$I,'2.2 P&amp;L statement'!$B4,'2.1 Database'!$H:$H)/100000</f>
        <v>150.47803019</v>
      </c>
    </row>
    <row r="5" spans="2:5" x14ac:dyDescent="0.35">
      <c r="B5" s="60" t="s">
        <v>66</v>
      </c>
      <c r="C5" s="51">
        <f>SUMIF('2.1 Database'!$I:$I,'2.2 P&amp;L statement'!$B5,'2.1 Database'!$F:$F)/100000</f>
        <v>47.948561919999996</v>
      </c>
      <c r="D5" s="51">
        <f>SUMIF('2.1 Database'!$I:$I,'2.2 P&amp;L statement'!$B5,'2.1 Database'!$G:$G)/100000</f>
        <v>69.602176450000002</v>
      </c>
      <c r="E5" s="51">
        <f>SUMIF('2.1 Database'!$I:$I,'2.2 P&amp;L statement'!$B5,'2.1 Database'!$H:$H)/100000</f>
        <v>63.736175140000007</v>
      </c>
    </row>
    <row r="6" spans="2:5" x14ac:dyDescent="0.35">
      <c r="B6" s="60" t="s">
        <v>233</v>
      </c>
      <c r="C6" s="51">
        <f>SUMIF('2.1 Database'!$I:$I,'2.2 P&amp;L statement'!$B6,'2.1 Database'!$F:$F)/100000</f>
        <v>32.200542519999999</v>
      </c>
      <c r="D6" s="51">
        <f>SUMIF('2.1 Database'!$I:$I,'2.2 P&amp;L statement'!$B6,'2.1 Database'!$G:$G)/100000</f>
        <v>29.240919950000002</v>
      </c>
      <c r="E6" s="51">
        <f>SUMIF('2.1 Database'!$I:$I,'2.2 P&amp;L statement'!$B6,'2.1 Database'!$H:$H)/100000</f>
        <v>48.931777299999993</v>
      </c>
    </row>
    <row r="7" spans="2:5" x14ac:dyDescent="0.35">
      <c r="B7" s="60" t="s">
        <v>254</v>
      </c>
      <c r="C7" s="61">
        <f>'2.2 P&amp;L statement'!C9/'2.2 P&amp;L statement'!C7</f>
        <v>0.80329281353949777</v>
      </c>
      <c r="D7" s="61">
        <f>'2.2 P&amp;L statement'!D9/'2.2 P&amp;L statement'!D7</f>
        <v>0.79014052477841912</v>
      </c>
      <c r="E7" s="61">
        <f>'2.2 P&amp;L statement'!E9/'2.2 P&amp;L statement'!E7</f>
        <v>0.78437246085651935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E7"/>
  <sheetViews>
    <sheetView workbookViewId="0">
      <selection activeCell="B4" sqref="B4"/>
    </sheetView>
  </sheetViews>
  <sheetFormatPr defaultColWidth="15.6328125" defaultRowHeight="14.5" x14ac:dyDescent="0.35"/>
  <cols>
    <col min="1" max="1" width="2.6328125" style="1" customWidth="1"/>
    <col min="2" max="16384" width="15.6328125" style="1"/>
  </cols>
  <sheetData>
    <row r="1" spans="2:5" ht="15.5" x14ac:dyDescent="0.35">
      <c r="B1" s="63" t="s">
        <v>260</v>
      </c>
    </row>
    <row r="3" spans="2:5" ht="15" thickBot="1" x14ac:dyDescent="0.4">
      <c r="B3" s="30"/>
      <c r="C3" s="64" t="s">
        <v>227</v>
      </c>
      <c r="D3" s="64" t="s">
        <v>228</v>
      </c>
      <c r="E3" s="64" t="s">
        <v>229</v>
      </c>
    </row>
    <row r="4" spans="2:5" x14ac:dyDescent="0.35">
      <c r="B4" s="1" t="s">
        <v>230</v>
      </c>
      <c r="C4" s="51">
        <f>SUMIF('2.1 Database'!$I:$I,'2.2 P&amp;L statement'!$B4,'2.1 Database'!$F:$F)/100000</f>
        <v>145.00341</v>
      </c>
      <c r="D4" s="51">
        <f>SUMIF('2.1 Database'!$I:$I,'2.2 P&amp;L statement'!$B4,'2.1 Database'!$G:$G)/100000</f>
        <v>161.48295365000001</v>
      </c>
      <c r="E4" s="51">
        <f>SUMIF('2.1 Database'!$I:$I,'2.2 P&amp;L statement'!$B4,'2.1 Database'!$H:$H)/100000</f>
        <v>150.47803019</v>
      </c>
    </row>
    <row r="5" spans="2:5" x14ac:dyDescent="0.35">
      <c r="B5" s="1" t="s">
        <v>66</v>
      </c>
      <c r="C5" s="52">
        <f>SUMIF('2.1 Database'!$I:$I,'2.2 P&amp;L statement'!$B5,'2.1 Database'!$F:$F)/100000</f>
        <v>47.948561919999996</v>
      </c>
      <c r="D5" s="52">
        <f>SUMIF('2.1 Database'!$I:$I,'2.2 P&amp;L statement'!$B5,'2.1 Database'!$G:$G)/100000</f>
        <v>69.602176450000002</v>
      </c>
      <c r="E5" s="52">
        <f>SUMIF('2.1 Database'!$I:$I,'2.2 P&amp;L statement'!$B5,'2.1 Database'!$H:$H)/100000</f>
        <v>63.736175140000007</v>
      </c>
    </row>
    <row r="6" spans="2:5" x14ac:dyDescent="0.35">
      <c r="B6" s="1" t="s">
        <v>233</v>
      </c>
      <c r="C6" s="52">
        <f>SUMIF('2.1 Database'!$I:$I,'2.2 P&amp;L statement'!$B6,'2.1 Database'!$F:$F)/100000</f>
        <v>32.200542519999999</v>
      </c>
      <c r="D6" s="52">
        <f>SUMIF('2.1 Database'!$I:$I,'2.2 P&amp;L statement'!$B6,'2.1 Database'!$G:$G)/100000</f>
        <v>29.240919950000002</v>
      </c>
      <c r="E6" s="52">
        <f>SUMIF('2.1 Database'!$I:$I,'2.2 P&amp;L statement'!$B6,'2.1 Database'!$H:$H)/100000</f>
        <v>48.931777299999993</v>
      </c>
    </row>
    <row r="7" spans="2:5" x14ac:dyDescent="0.35">
      <c r="C7" s="52">
        <f>SUM(C4:C6)</f>
        <v>225.15251444</v>
      </c>
      <c r="D7" s="52">
        <f t="shared" ref="D7:E7" si="0">SUM(D4:D6)</f>
        <v>260.32605004999999</v>
      </c>
      <c r="E7" s="52">
        <f t="shared" si="0"/>
        <v>263.14598262999999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E5"/>
  <sheetViews>
    <sheetView workbookViewId="0">
      <selection activeCell="B4" sqref="B4"/>
    </sheetView>
  </sheetViews>
  <sheetFormatPr defaultColWidth="15.6328125" defaultRowHeight="14.5" x14ac:dyDescent="0.35"/>
  <cols>
    <col min="1" max="1" width="2.6328125" style="1" customWidth="1"/>
    <col min="2" max="16384" width="15.6328125" style="1"/>
  </cols>
  <sheetData>
    <row r="1" spans="2:5" ht="15.5" x14ac:dyDescent="0.35">
      <c r="B1" s="62" t="s">
        <v>261</v>
      </c>
    </row>
    <row r="3" spans="2:5" ht="15" thickBot="1" x14ac:dyDescent="0.4">
      <c r="B3" s="30"/>
      <c r="C3" s="65" t="s">
        <v>227</v>
      </c>
      <c r="D3" s="65" t="s">
        <v>228</v>
      </c>
      <c r="E3" s="65" t="s">
        <v>229</v>
      </c>
    </row>
    <row r="4" spans="2:5" x14ac:dyDescent="0.35">
      <c r="B4" s="58" t="s">
        <v>262</v>
      </c>
      <c r="C4" s="59">
        <v>22.515251444</v>
      </c>
      <c r="D4" s="59">
        <v>26.032605005000001</v>
      </c>
      <c r="E4" s="59">
        <v>26.314598263000001</v>
      </c>
    </row>
    <row r="5" spans="2:5" x14ac:dyDescent="0.35">
      <c r="B5" s="60" t="s">
        <v>258</v>
      </c>
      <c r="C5" s="61">
        <f>'2.2 P&amp;L statement'!C9/'2.2 P&amp;L statement'!C7</f>
        <v>0.80329281353949777</v>
      </c>
      <c r="D5" s="61">
        <f>'2.2 P&amp;L statement'!D9/'2.2 P&amp;L statement'!D7</f>
        <v>0.79014052477841912</v>
      </c>
      <c r="E5" s="61">
        <f>'2.2 P&amp;L statement'!E9/'2.2 P&amp;L statement'!E7</f>
        <v>0.78437246085651935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B1:C9"/>
  <sheetViews>
    <sheetView tabSelected="1" workbookViewId="0">
      <selection activeCell="Q3" sqref="Q3"/>
    </sheetView>
  </sheetViews>
  <sheetFormatPr defaultRowHeight="14.5" x14ac:dyDescent="0.35"/>
  <cols>
    <col min="1" max="1" width="2.6328125" style="1" customWidth="1"/>
    <col min="2" max="2" width="19.6328125" style="1" customWidth="1"/>
    <col min="3" max="16384" width="8.7265625" style="1"/>
  </cols>
  <sheetData>
    <row r="1" spans="2:3" ht="15.5" x14ac:dyDescent="0.35">
      <c r="B1" s="69" t="s">
        <v>267</v>
      </c>
    </row>
    <row r="3" spans="2:3" x14ac:dyDescent="0.35">
      <c r="B3" s="66" t="s">
        <v>263</v>
      </c>
      <c r="C3" s="66">
        <f>'2.2 P&amp;L statement'!D17</f>
        <v>40.624326450000005</v>
      </c>
    </row>
    <row r="4" spans="2:3" x14ac:dyDescent="0.35">
      <c r="B4" s="66" t="s">
        <v>264</v>
      </c>
      <c r="C4" s="66">
        <f>'2.2 P&amp;L statement'!E7-'2.2 P&amp;L statement'!D7</f>
        <v>2.8199325799999997</v>
      </c>
    </row>
    <row r="5" spans="2:3" x14ac:dyDescent="0.35">
      <c r="B5" s="67" t="s">
        <v>268</v>
      </c>
      <c r="C5" s="66">
        <f>'2.2 P&amp;L statement'!E8-'2.2 P&amp;L statement'!D8</f>
        <v>-2.109632419999997</v>
      </c>
    </row>
    <row r="6" spans="2:3" x14ac:dyDescent="0.35">
      <c r="B6" s="66" t="s">
        <v>265</v>
      </c>
      <c r="C6" s="66">
        <f>SUM('2.2 P&amp;L statement'!E10:E16)-SUM('2.2 P&amp;L statement'!D10:D16)</f>
        <v>11.570353799999992</v>
      </c>
    </row>
    <row r="7" spans="2:3" x14ac:dyDescent="0.35">
      <c r="B7" s="66" t="s">
        <v>266</v>
      </c>
      <c r="C7" s="66">
        <f>'2.2 P&amp;L statement'!E17</f>
        <v>52.904980410000022</v>
      </c>
    </row>
    <row r="8" spans="2:3" x14ac:dyDescent="0.35">
      <c r="B8" s="66"/>
      <c r="C8" s="66"/>
    </row>
    <row r="9" spans="2:3" x14ac:dyDescent="0.35">
      <c r="B9" s="68" t="s">
        <v>249</v>
      </c>
      <c r="C9" s="68">
        <f>SUM(C3:C6)-C7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Functions --&gt;</vt:lpstr>
      <vt:lpstr>2.1 Database</vt:lpstr>
      <vt:lpstr>2.2 P&amp;L statement</vt:lpstr>
      <vt:lpstr>2.3 Mapping</vt:lpstr>
      <vt:lpstr>3. Charts</vt:lpstr>
      <vt:lpstr>.1 Column Stacked Chart</vt:lpstr>
      <vt:lpstr>3.2 Dougnut chart</vt:lpstr>
      <vt:lpstr>3.3 Area chart</vt:lpstr>
      <vt:lpstr>3.4 Bridge 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2024-11-07T19:31:44Z</dcterms:modified>
</cp:coreProperties>
</file>